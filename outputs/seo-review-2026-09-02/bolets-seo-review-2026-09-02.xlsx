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a49da40b714019" /></Relationships>
</file>

<file path=xl/workbook.xml><?xml version="1.0" encoding="utf-8"?>
<x:workbook xmlns:x="http://schemas.openxmlformats.org/spreadsheetml/2006/main">
  <x:sheets>
    <x:sheet xmlns:r="http://schemas.openxmlformats.org/officeDocument/2006/relationships" name="Executive Summary" sheetId="1" r:id="R1d5a4e9525634417"/>
    <x:sheet xmlns:r="http://schemas.openxmlformats.org/officeDocument/2006/relationships" name="Keyword Clusters" sheetId="2" r:id="R45d4128ddf73429a"/>
    <x:sheet xmlns:r="http://schemas.openxmlformats.org/officeDocument/2006/relationships" name="GSC Performance" sheetId="3" r:id="Rfeba4a1a93ea4264"/>
    <x:sheet xmlns:r="http://schemas.openxmlformats.org/officeDocument/2006/relationships" name="Rankings" sheetId="4" r:id="Rc744b22c3cf045e2"/>
    <x:sheet xmlns:r="http://schemas.openxmlformats.org/officeDocument/2006/relationships" name="Content Gaps" sheetId="5" r:id="Rb74277da97d744d7"/>
    <x:sheet xmlns:r="http://schemas.openxmlformats.org/officeDocument/2006/relationships" name="Competitors" sheetId="6" r:id="R1955b6b310f64496"/>
    <x:sheet xmlns:r="http://schemas.openxmlformats.org/officeDocument/2006/relationships" name="Technical Audit" sheetId="7" r:id="Re23a8aebeb3d4a57"/>
    <x:sheet xmlns:r="http://schemas.openxmlformats.org/officeDocument/2006/relationships" name="Sources &amp; Limits" sheetId="8" r:id="Re1897e8cdde7480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0"/>
    <x:numFmt numFmtId="202" formatCode="#,##0"/>
    <x:numFmt numFmtId="203" formatCode="0"/>
    <x:numFmt numFmtId="204" formatCode="0.0"/>
    <x:numFmt numFmtId="205" formatCode="0.0%"/>
  </x:numFmts>
  <x:fonts count="9">
    <x:font>
      <x:sz val="11"/>
      <x:name val="Carlito"/>
    </x:font>
    <x:font>
      <x:b/>
      <x:sz val="20"/>
      <x:color rgb="FFFFFFFF"/>
      <x:name val="Carlito"/>
    </x:font>
    <x:font>
      <x:i/>
      <x:sz val="10"/>
      <x:color rgb="FF647169"/>
      <x:name val="Carlito"/>
    </x:font>
    <x:font>
      <x:b/>
      <x:sz val="12"/>
      <x:color rgb="FFFFFFFF"/>
      <x:name val="Carlito"/>
    </x:font>
    <x:font>
      <x:sz val="11"/>
      <x:color rgb="FF1F2925"/>
      <x:name val="Carlito"/>
    </x:font>
    <x:font>
      <x:b/>
      <x:sz val="10"/>
      <x:color rgb="FFFFFFFF"/>
      <x:name val="Carlito"/>
    </x:font>
    <x:font>
      <x:b/>
      <x:sz val="18"/>
      <x:color rgb="FF1F2925"/>
      <x:name val="Carlito"/>
    </x:font>
    <x:font>
      <x:sz val="9"/>
      <x:color rgb="FF647169"/>
      <x:name val="Carlito"/>
    </x:font>
    <x:font>
      <x:b/>
      <x:sz val="11"/>
      <x:color rgb="FFFFFFFF"/>
      <x:name val="Carlito"/>
    </x:font>
  </x:fonts>
  <x:fills count="9">
    <x:fill>
      <x:patternFill patternType="none"/>
    </x:fill>
    <x:fill>
      <x:patternFill patternType="gray125"/>
    </x:fill>
    <x:fill>
      <x:patternFill patternType="solid">
        <x:fgColor rgb="FF234236"/>
      </x:patternFill>
    </x:fill>
    <x:fill>
      <x:patternFill patternType="solid">
        <x:fgColor rgb="FFF5F0E6"/>
      </x:patternFill>
    </x:fill>
    <x:fill>
      <x:patternFill patternType="solid">
        <x:fgColor rgb="FF607A4B"/>
      </x:patternFill>
    </x:fill>
    <x:fill>
      <x:patternFill patternType="solid">
        <x:fgColor rgb="FFE8EEE8"/>
      </x:patternFill>
    </x:fill>
    <x:fill>
      <x:patternFill patternType="solid">
        <x:fgColor rgb="FFF8E7E2"/>
      </x:patternFill>
    </x:fill>
    <x:fill>
      <x:patternFill patternType="solid">
        <x:fgColor rgb="FFF8EEDC"/>
      </x:patternFill>
    </x:fill>
    <x:fill>
      <x:patternFill patternType="solid">
        <x:fgColor rgb="FFE3EFE6"/>
      </x:patternFill>
    </x:fill>
  </x:fills>
  <x:borders count="10">
    <x:border/>
    <x:border>
      <x:left style="thin">
        <x:color rgb="FFD9E0DA"/>
      </x:left>
      <x:top style="thin">
        <x:color rgb="FFD9E0DA"/>
      </x:top>
    </x:border>
    <x:border>
      <x:top style="thin">
        <x:color rgb="FFD9E0DA"/>
      </x:top>
    </x:border>
    <x:border>
      <x:right style="thin">
        <x:color rgb="FFD9E0DA"/>
      </x:right>
      <x:top style="thin">
        <x:color rgb="FFD9E0DA"/>
      </x:top>
    </x:border>
    <x:border>
      <x:left style="thin">
        <x:color rgb="FFD9E0DA"/>
      </x:left>
      <x:bottom style="thin">
        <x:color rgb="FFD9E0DA"/>
      </x:bottom>
    </x:border>
    <x:border>
      <x:bottom style="thin">
        <x:color rgb="FFD9E0DA"/>
      </x:bottom>
    </x:border>
    <x:border>
      <x:right style="thin">
        <x:color rgb="FFD9E0DA"/>
      </x:right>
      <x:bottom style="thin">
        <x:color rgb="FFD9E0DA"/>
      </x:bottom>
    </x:border>
    <x:border>
      <x:left style="thin">
        <x:color rgb="FFD9E0DA"/>
      </x:left>
      <x:right style="thin">
        <x:color rgb="FFD9E0DA"/>
      </x:right>
      <x:top style="thin">
        <x:color rgb="FFD9E0DA"/>
      </x:top>
      <x:bottom style="thin">
        <x:color rgb="FFD9E0DA"/>
      </x:bottom>
    </x:border>
    <x:border>
      <x:left style="thin">
        <x:color rgb="FFD9E0DA"/>
      </x:left>
    </x:border>
    <x:border>
      <x:right style="thin">
        <x:color rgb="FFD9E0DA"/>
      </x:right>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7" fillId="3" borderId="0" xfId="0" applyNumberFormat="1" applyFont="1" applyFill="1" applyBorder="1"/>
    <x:xf numFmtId="0" fontId="7" fillId="3" borderId="0" xfId="0" applyNumberFormat="1" applyFont="1" applyFill="1" applyBorder="1" applyAlignment="1">
      <x:alignment horizontal="center"/>
    </x:xf>
    <x:xf numFmtId="200" fontId="6" fillId="3" borderId="0" xfId="0" applyNumberFormat="1" applyFont="1" applyFill="1" applyBorder="1" applyAlignment="1">
      <x:alignment horizontal="center"/>
    </x:xf>
    <x:xf numFmtId="0" fontId="8" fillId="2" borderId="0" xfId="0" applyNumberFormat="1" applyFont="1" applyFill="1" applyBorder="1"/>
    <x:xf numFmtId="0" fontId="8" fillId="2" borderId="7" xfId="0" applyNumberFormat="1" applyFont="1" applyFill="1" applyBorder="1"/>
    <x:xf numFmtId="0" fontId="8" fillId="2" borderId="7" xfId="0" applyNumberFormat="1" applyFont="1" applyFill="1" applyBorder="1" applyAlignment="1">
      <x:alignment wrapText="1"/>
    </x:xf>
    <x:xf numFmtId="0" fontId="8" fillId="2" borderId="7" xfId="0" applyNumberFormat="1" applyFont="1" applyFill="1" applyBorder="1" applyAlignment="1">
      <x:alignment vertical="center" wrapText="1"/>
    </x:xf>
    <x:xf numFmtId="0" fontId="4" fillId="0" borderId="0" xfId="0" applyNumberFormat="1" applyFont="1" applyFill="1" applyBorder="1"/>
    <x:xf numFmtId="0" fontId="4" fillId="0" borderId="7" xfId="0" applyNumberFormat="1" applyFont="1" applyFill="1" applyBorder="1"/>
    <x:xf numFmtId="0" fontId="4" fillId="0" borderId="7" xfId="0" applyNumberFormat="1" applyFont="1" applyFill="1" applyBorder="1" applyAlignment="1">
      <x:alignment wrapText="1"/>
    </x:xf>
    <x:xf numFmtId="0" fontId="4" fillId="0" borderId="7"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7" borderId="7" xfId="0" applyNumberFormat="1" applyFont="1" applyFill="1" applyBorder="1" applyAlignment="1">
      <x:alignment vertical="top" wrapText="1"/>
    </x:xf>
    <x:xf numFmtId="201" fontId="4" fillId="0" borderId="7" xfId="0" applyNumberFormat="1" applyFont="1" applyFill="1" applyBorder="1" applyAlignment="1">
      <x:alignment vertical="top" wrapText="1"/>
    </x:xf>
    <x:xf numFmtId="0" fontId="4" fillId="8" borderId="7" xfId="0" applyNumberFormat="1" applyFont="1" applyFill="1" applyBorder="1" applyAlignment="1">
      <x:alignment vertical="top" wrapText="1"/>
    </x:xf>
    <x:xf numFmtId="202" fontId="4" fillId="0" borderId="7" xfId="0" applyNumberFormat="1" applyFont="1" applyFill="1" applyBorder="1" applyAlignment="1">
      <x:alignment vertical="top" wrapText="1"/>
    </x:xf>
    <x:xf numFmtId="203" fontId="4" fillId="0" borderId="7" xfId="0" applyNumberFormat="1" applyFont="1" applyFill="1" applyBorder="1" applyAlignment="1">
      <x:alignment vertical="top" wrapText="1"/>
    </x:xf>
    <x:xf numFmtId="204" fontId="4" fillId="0" borderId="7" xfId="0" applyNumberFormat="1" applyFont="1" applyFill="1" applyBorder="1" applyAlignment="1">
      <x:alignment vertical="top" wrapText="1"/>
    </x:xf>
    <x:xf numFmtId="205" fontId="8" fillId="2" borderId="7" xfId="0" applyNumberFormat="1" applyFont="1" applyFill="1" applyBorder="1" applyAlignment="1">
      <x:alignment vertical="center" wrapText="1"/>
    </x:xf>
    <x:xf numFmtId="200" fontId="4" fillId="0" borderId="7"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6c2c6ff5314619" /><Relationship Type="http://schemas.openxmlformats.org/officeDocument/2006/relationships/theme" Target="/xl/theme/theme1.xml" Id="Rd817584d9cee479e" /><Relationship Type="http://schemas.openxmlformats.org/officeDocument/2006/relationships/sharedStrings" Target="/xl/sharedStrings.xml" Id="R8a14668296824c54" /><Relationship Type="http://schemas.openxmlformats.org/officeDocument/2006/relationships/worksheet" Target="/xl/worksheets/sheet1.xml" Id="R1d5a4e9525634417" /><Relationship Type="http://schemas.openxmlformats.org/officeDocument/2006/relationships/worksheet" Target="/xl/worksheets/sheet2.xml" Id="R45d4128ddf73429a" /><Relationship Type="http://schemas.openxmlformats.org/officeDocument/2006/relationships/worksheet" Target="/xl/worksheets/sheet3.xml" Id="Rfeba4a1a93ea4264" /><Relationship Type="http://schemas.openxmlformats.org/officeDocument/2006/relationships/worksheet" Target="/xl/worksheets/sheet4.xml" Id="Rc744b22c3cf045e2" /><Relationship Type="http://schemas.openxmlformats.org/officeDocument/2006/relationships/worksheet" Target="/xl/worksheets/sheet5.xml" Id="Rb74277da97d744d7" /><Relationship Type="http://schemas.openxmlformats.org/officeDocument/2006/relationships/worksheet" Target="/xl/worksheets/sheet6.xml" Id="R1955b6b310f64496" /><Relationship Type="http://schemas.openxmlformats.org/officeDocument/2006/relationships/worksheet" Target="/xl/worksheets/sheet7.xml" Id="Re23a8aebeb3d4a57" /><Relationship Type="http://schemas.openxmlformats.org/officeDocument/2006/relationships/worksheet" Target="/xl/worksheets/sheet8.xml" Id="Re1897e8cdde74809" /></Relationships>
</file>

<file path=xl/drawings/_rels/drawing1.xml.rels>&#65279;<?xml version="1.0" encoding="utf-8"?><Relationships xmlns="http://schemas.openxmlformats.org/package/2006/relationships"><Relationship Type="http://schemas.openxmlformats.org/officeDocument/2006/relationships/chart" Target="/xl/drawings/charts/chart1.xml" Id="R5dbf3b6abdc048bb" /></Relationships>
</file>

<file path=xl/drawings/_rels/drawing2.xml.rels>&#65279;<?xml version="1.0" encoding="utf-8"?><Relationships xmlns="http://schemas.openxmlformats.org/package/2006/relationships"><Relationship Type="http://schemas.openxmlformats.org/officeDocument/2006/relationships/chart" Target="/xl/drawings/charts/chart2.xml" Id="Readb1d00a708448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Competitor visibility gap</a:t>
            </a:r>
          </a:p>
        </c:rich>
      </c:tx>
      <c:overlay val="0"/>
    </c:title>
    <c:plotArea>
      <c:barChart>
        <c:barDir val="col"/>
        <c:varyColors val="0"/>
        <c:ser>
          <c:idx val="0"/>
          <c:order val="0"/>
          <c:tx>
            <c:v>Average visibility (%)</c:v>
          </c:tx>
          <c:cat>
            <c:strRef>
              <c:f>'Executive Summary'!$A$28:$A$36</c:f>
              <c:strCache>
                <c:ptCount val="0"/>
              </c:strCache>
            </c:strRef>
          </c:cat>
          <c:val>
            <c:numRef>
              <c:f>'Executive Summary'!$B$28:$B$36</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Tracked visibility by engine</a:t>
            </a:r>
          </a:p>
        </c:rich>
      </c:tx>
      <c:overlay val="0"/>
    </c:title>
    <c:plotArea>
      <c:barChart>
        <c:barDir val="col"/>
        <c:varyColors val="0"/>
        <c:ser>
          <c:idx val="0"/>
          <c:order val="0"/>
          <c:tx>
            <c:v>Google Spain — CA</c:v>
          </c:tx>
          <c:cat>
            <c:strRef>
              <c:f>'Competitors'!$A$5:$A$13</c:f>
              <c:strCache>
                <c:ptCount val="0"/>
              </c:strCache>
            </c:strRef>
          </c:cat>
          <c:val>
            <c:numRef>
              <c:f>'Competitors'!$B$5:$B$13</c:f>
              <c:numCache>
                <c:formatCode>0.00</c:formatCode>
                <c:ptCount val="0"/>
              </c:numCache>
            </c:numRef>
          </c:val>
        </c:ser>
        <c:ser>
          <c:idx val="1"/>
          <c:order val="1"/>
          <c:tx>
            <c:v>Google Spain — ES</c:v>
          </c:tx>
          <c:cat>
            <c:strRef>
              <c:f>'Competitors'!$A$5:$A$13</c:f>
              <c:strCache>
                <c:ptCount val="0"/>
              </c:strCache>
            </c:strRef>
          </c:cat>
          <c:val>
            <c:numRef>
              <c:f>'Competitors'!$C$5:$C$13</c:f>
              <c:numCache>
                <c:formatCode>0.00</c:formatCode>
                <c:ptCount val="0"/>
              </c:numCache>
            </c:numRef>
          </c:val>
        </c:ser>
        <c:ser>
          <c:idx val="2"/>
          <c:order val="2"/>
          <c:tx>
            <c:v>Google Mobile — Catalonia</c:v>
          </c:tx>
          <c:cat>
            <c:strRef>
              <c:f>'Competitors'!$A$5:$A$13</c:f>
              <c:strCache>
                <c:ptCount val="0"/>
              </c:strCache>
            </c:strRef>
          </c:cat>
          <c:val>
            <c:numRef>
              <c:f>'Competitors'!$D$5:$D$13</c:f>
              <c:numCache>
                <c:formatCode>0.00</c:formatCode>
                <c:ptCount val="0"/>
              </c:numCache>
            </c:numRef>
          </c:val>
        </c:ser>
        <c:ser>
          <c:idx val="3"/>
          <c:order val="3"/>
          <c:tx>
            <c:v>Average visibility</c:v>
          </c:tx>
          <c:cat>
            <c:strRef>
              <c:f>'Competitors'!$A$5:$A$13</c:f>
              <c:strCache>
                <c:ptCount val="0"/>
              </c:strCache>
            </c:strRef>
          </c:cat>
          <c:val>
            <c:numRef>
              <c:f>'Competitors'!$E$5:$E$13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26</xdr:row>
      <xdr:rowOff>0</xdr:rowOff>
    </xdr:from>
    <xdr:to>
      <xdr:col>14</xdr:col>
      <xdr:colOff>0</xdr:colOff>
      <xdr:row>45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bf3b6abdc048bb"/>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db1d00a7084489"/>
        </a:graphicData>
      </a:graphic>
    </xdr:graphicFrame>
    <xdr:clientData/>
  </xdr:twoCellAnchor>
</xdr:wsDr>
</file>

<file path=xl/tables/table1.xml><?xml version="1.0" encoding="utf-8"?>
<x:table xmlns:x="http://schemas.openxmlformats.org/spreadsheetml/2006/main" id="1" name="KeywordClustersTable" displayName="KeywordClustersTable" ref="A4:N76" headerRowCount="1" totalsRowCount="0" totalsRowShown="0">
  <x:tableColumns count="14">
    <x:tableColumn id="1" name="Cluster"/>
    <x:tableColumn id="2" name="Keyword"/>
    <x:tableColumn id="3" name="Volume / mo"/>
    <x:tableColumn id="4" name="SEO difficulty"/>
    <x:tableColumn id="5" name="Paid competition"/>
    <x:tableColumn id="6" name="Intent"/>
    <x:tableColumn id="7" name="Coverage"/>
    <x:tableColumn id="8" name="Gap weight"/>
    <x:tableColumn id="9" name="Opportunity score"/>
    <x:tableColumn id="10" name="Priority"/>
    <x:tableColumn id="11" name="Recommended URL"/>
    <x:tableColumn id="12" name="Recommended action"/>
    <x:tableColumn id="13" name="Source"/>
    <x:tableColumn id="14" name="Source URL"/>
  </x:tableColumns>
  <x:tableStyleInfo name="TableStyleMedium2" showFirstColumn="0" showLastColumn="0" showRowStripes="1" showColumnStripes="0"/>
</x:table>
</file>

<file path=xl/tables/table2.xml><?xml version="1.0" encoding="utf-8"?>
<x:table xmlns:x="http://schemas.openxmlformats.org/spreadsheetml/2006/main" id="2" name="RankingsTable" displayName="RankingsTable" ref="A4:H124" headerRowCount="1" totalsRowCount="0" totalsRowShown="0">
  <x:tableColumns count="8">
    <x:tableColumn id="1" name="Engine"/>
    <x:tableColumn id="2" name="Keyword"/>
    <x:tableColumn id="3" name="Position"/>
    <x:tableColumn id="4" name="Volume / mo"/>
    <x:tableColumn id="5" name="Paid competition"/>
    <x:tableColumn id="6" name="CPC"/>
    <x:tableColumn id="7" name="Landing page"/>
    <x:tableColumn id="8" name="Date"/>
  </x:tableColumns>
  <x:tableStyleInfo name="TableStyleMedium2" showFirstColumn="0" showLastColumn="0" showRowStripes="1" showColumnStripes="0"/>
</x:table>
</file>

<file path=xl/tables/table3.xml><?xml version="1.0" encoding="utf-8"?>
<x:table xmlns:x="http://schemas.openxmlformats.org/spreadsheetml/2006/main" id="3" name="ContentGapsTable" displayName="ContentGapsTable" ref="A4:F13" headerRowCount="1" totalsRowCount="0" totalsRowShown="0">
  <x:tableColumns count="6">
    <x:tableColumn id="1" name="Priority"/>
    <x:tableColumn id="2" name="Topic"/>
    <x:tableColumn id="3" name="Current status"/>
    <x:tableColumn id="4" name="Competitor / keyword evidence"/>
    <x:tableColumn id="5" name="Recommended asset"/>
    <x:tableColumn id="6" name="Editorial guardrail"/>
  </x:tableColumns>
  <x:tableStyleInfo name="TableStyleMedium2" showFirstColumn="0" showLastColumn="0" showRowStripes="1" showColumnStripes="0"/>
</x:table>
</file>

<file path=xl/tables/table4.xml><?xml version="1.0" encoding="utf-8"?>
<x:table xmlns:x="http://schemas.openxmlformats.org/spreadsheetml/2006/main" id="4" name="TechnicalIssuesTable" displayName="TechnicalIssuesTable" ref="A10:F19" headerRowCount="1" totalsRowCount="0" totalsRowShown="0">
  <x:tableColumns count="6">
    <x:tableColumn id="1" name="Severity"/>
    <x:tableColumn id="2" name="Section"/>
    <x:tableColumn id="3" name="Code"/>
    <x:tableColumn id="4" name="Issue"/>
    <x:tableColumn id="5" name="Affected URLs"/>
    <x:tableColumn id="6" name="Recommended handl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8380c0af31a4589" /></Relationships>
</file>

<file path=xl/worksheets/_rels/sheet2.xml.rels>&#65279;<?xml version="1.0" encoding="utf-8"?><Relationships xmlns="http://schemas.openxmlformats.org/package/2006/relationships"><Relationship Type="http://schemas.openxmlformats.org/officeDocument/2006/relationships/table" Target="/xl/tables/table1.xml" Id="R8579bcb33bf94fa8" /></Relationships>
</file>

<file path=xl/worksheets/_rels/sheet4.xml.rels>&#65279;<?xml version="1.0" encoding="utf-8"?><Relationships xmlns="http://schemas.openxmlformats.org/package/2006/relationships"><Relationship Type="http://schemas.openxmlformats.org/officeDocument/2006/relationships/table" Target="/xl/tables/table2.xml" Id="R56de145049c34adf" /></Relationships>
</file>

<file path=xl/worksheets/_rels/sheet5.xml.rels>&#65279;<?xml version="1.0" encoding="utf-8"?><Relationships xmlns="http://schemas.openxmlformats.org/package/2006/relationships"><Relationship Type="http://schemas.openxmlformats.org/officeDocument/2006/relationships/table" Target="/xl/tables/table3.xml" Id="Rfb9d531aa573436a" /></Relationships>
</file>

<file path=xl/worksheets/_rels/sheet6.xml.rels>&#65279;<?xml version="1.0" encoding="utf-8"?><Relationships xmlns="http://schemas.openxmlformats.org/package/2006/relationships"><Relationship Type="http://schemas.openxmlformats.org/officeDocument/2006/relationships/drawing" Target="/xl/drawings/drawing2.xml" Id="R47608c3c1de246e3" /></Relationships>
</file>

<file path=xl/worksheets/_rels/sheet7.xml.rels>&#65279;<?xml version="1.0" encoding="utf-8"?><Relationships xmlns="http://schemas.openxmlformats.org/package/2006/relationships"><Relationship Type="http://schemas.openxmlformats.org/officeDocument/2006/relationships/table" Target="/xl/tables/table4.xml" Id="Rb7b249afd8bd4a76"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34" customHeight="1">
      <x:c r="A1" s="3" t="str">
        <x:v>Bolets.app — SEO Review</x:v>
      </x:c>
      <x:c r="B1" s="3" t="str">
        <x:v>Bolets.app — SEO Review</x:v>
      </x:c>
      <x:c r="C1" s="3" t="str">
        <x:v>Bolets.app — SEO Review</x:v>
      </x:c>
      <x:c r="D1" s="3" t="str">
        <x:v>Bolets.app — SEO Review</x:v>
      </x:c>
      <x:c r="E1" s="3" t="str">
        <x:v>Bolets.app — SEO Review</x:v>
      </x:c>
      <x:c r="F1" s="3" t="str">
        <x:v>Bolets.app — SEO Review</x:v>
      </x:c>
      <x:c r="G1" s="3" t="str">
        <x:v>Bolets.app — SEO Review</x:v>
      </x:c>
      <x:c r="H1" s="3" t="str">
        <x:v>Bolets.app — SEO Review</x:v>
      </x:c>
      <x:c r="I1" s="3" t="str">
        <x:v>Bolets.app — SEO Review</x:v>
      </x:c>
      <x:c r="J1" s="3" t="str">
        <x:v>Bolets.app — SEO Review</x:v>
      </x:c>
      <x:c r="K1" s="3" t="str">
        <x:v>Bolets.app — SEO Review</x:v>
      </x:c>
      <x:c r="L1" s="3" t="str">
        <x:v>Bolets.app — SEO Review</x:v>
      </x:c>
      <x:c r="M1" s="3" t="str">
        <x:v>Bolets.app — SEO Review</x:v>
      </x:c>
      <x:c r="N1" s="3" t="str">
        <x:v>Bolets.app — SEO Review</x:v>
      </x:c>
    </x:row>
    <x:row r="2" ht="28" customHeight="1">
      <x:c r="A2" s="6" t="str">
        <x:v>Snapshot 2026-09-02 · Spain/Catalonia · Google Search Console + SE Ranking + competitor research</x:v>
      </x:c>
      <x:c r="B2" s="6" t="str">
        <x:v>Snapshot 2026-09-02 · Spain/Catalonia · Google Search Console + SE Ranking + competitor research</x:v>
      </x:c>
      <x:c r="C2" s="6" t="str">
        <x:v>Snapshot 2026-09-02 · Spain/Catalonia · Google Search Console + SE Ranking + competitor research</x:v>
      </x:c>
      <x:c r="D2" s="6" t="str">
        <x:v>Snapshot 2026-09-02 · Spain/Catalonia · Google Search Console + SE Ranking + competitor research</x:v>
      </x:c>
      <x:c r="E2" s="6" t="str">
        <x:v>Snapshot 2026-09-02 · Spain/Catalonia · Google Search Console + SE Ranking + competitor research</x:v>
      </x:c>
      <x:c r="F2" s="6" t="str">
        <x:v>Snapshot 2026-09-02 · Spain/Catalonia · Google Search Console + SE Ranking + competitor research</x:v>
      </x:c>
      <x:c r="G2" s="6" t="str">
        <x:v>Snapshot 2026-09-02 · Spain/Catalonia · Google Search Console + SE Ranking + competitor research</x:v>
      </x:c>
      <x:c r="H2" s="6" t="str">
        <x:v>Snapshot 2026-09-02 · Spain/Catalonia · Google Search Console + SE Ranking + competitor research</x:v>
      </x:c>
      <x:c r="I2" s="6" t="str">
        <x:v>Snapshot 2026-09-02 · Spain/Catalonia · Google Search Console + SE Ranking + competitor research</x:v>
      </x:c>
      <x:c r="J2" s="6" t="str">
        <x:v>Snapshot 2026-09-02 · Spain/Catalonia · Google Search Console + SE Ranking + competitor research</x:v>
      </x:c>
      <x:c r="K2" s="6" t="str">
        <x:v>Snapshot 2026-09-02 · Spain/Catalonia · Google Search Console + SE Ranking + competitor research</x:v>
      </x:c>
      <x:c r="L2" s="6" t="str">
        <x:v>Snapshot 2026-09-02 · Spain/Catalonia · Google Search Console + SE Ranking + competitor research</x:v>
      </x:c>
      <x:c r="M2" s="6" t="str">
        <x:v>Snapshot 2026-09-02 · Spain/Catalonia · Google Search Console + SE Ranking + competitor research</x:v>
      </x:c>
      <x:c r="N2" s="6" t="str">
        <x:v>Snapshot 2026-09-02 · Spain/Catalonia · Google Search Console + SE Ranking + competitor research</x:v>
      </x:c>
    </x:row>
    <x:row r="4" ht="23" customHeight="1">
      <x:c r="A4" s="9" t="str">
        <x:v>Executive diagnosis</x:v>
      </x:c>
      <x:c r="B4" s="9" t="str">
        <x:v>Executive diagnosis</x:v>
      </x:c>
      <x:c r="C4" s="9" t="str">
        <x:v>Executive diagnosis</x:v>
      </x:c>
      <x:c r="D4" s="9" t="str">
        <x:v>Executive diagnosis</x:v>
      </x:c>
      <x:c r="E4" s="9" t="str">
        <x:v>Executive diagnosis</x:v>
      </x:c>
      <x:c r="F4" s="9" t="str">
        <x:v>Executive diagnosis</x:v>
      </x:c>
      <x:c r="G4" s="9" t="str">
        <x:v>Executive diagnosis</x:v>
      </x:c>
      <x:c r="H4" s="9" t="str">
        <x:v>Executive diagnosis</x:v>
      </x:c>
      <x:c r="I4" s="9" t="str">
        <x:v>Executive diagnosis</x:v>
      </x:c>
      <x:c r="J4" s="9" t="str">
        <x:v>Executive diagnosis</x:v>
      </x:c>
      <x:c r="K4" s="9" t="str">
        <x:v>Executive diagnosis</x:v>
      </x:c>
      <x:c r="L4" s="9" t="str">
        <x:v>Executive diagnosis</x:v>
      </x:c>
      <x:c r="M4" s="9" t="str">
        <x:v>Executive diagnosis</x:v>
      </x:c>
      <x:c r="N4" s="9" t="str">
        <x:v>Executive diagnosis</x:v>
      </x:c>
    </x:row>
    <x:row r="5">
      <x:c r="A5" s="24"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B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C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D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E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F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G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H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I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J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K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L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M5" s="25"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N5" s="26"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row>
    <x:row r="6">
      <x:c r="A6" s="27"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B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C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D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E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F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G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H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I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J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K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L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M6" s="28"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c r="N6" s="29" t="str">
        <x:v>Strong technical foundations and early search traction, but growth is constrained by 40 discovered-not-indexed pages, low CTR on high-impression hubs, narrow practical-content coverage, and almost no measurable authority. The fastest path is to improve indexation and snippets, then expand into bilingual names, responsible hunting guidance, preservation, recipes, and confusion/safety clusters.</x:v>
      </x:c>
    </x:row>
    <x:row r="8">
      <x:c r="A8" s="31" t="str">
        <x:v>GSC clicks</x:v>
      </x:c>
      <x:c r="B8" s="31" t="str">
        <x:v>GSC clicks</x:v>
      </x:c>
      <x:c r="C8" s="31" t="str">
        <x:v>GSC clicks</x:v>
      </x:c>
      <x:c r="D8" s="31" t="str">
        <x:v>GSC impressions</x:v>
      </x:c>
      <x:c r="E8" s="31" t="str">
        <x:v>GSC impressions</x:v>
      </x:c>
      <x:c r="F8" s="31" t="str">
        <x:v>GSC impressions</x:v>
      </x:c>
      <x:c r="G8" s="31" t="str">
        <x:v>GSC CTR</x:v>
      </x:c>
      <x:c r="H8" s="31" t="str">
        <x:v>GSC CTR</x:v>
      </x:c>
      <x:c r="I8" s="31" t="str">
        <x:v>GSC CTR</x:v>
      </x:c>
      <x:c r="J8" s="31" t="str">
        <x:v>Avg position</x:v>
      </x:c>
      <x:c r="K8" s="31" t="str">
        <x:v>Avg position</x:v>
      </x:c>
      <x:c r="L8" s="31" t="str">
        <x:v>Avg position</x:v>
      </x:c>
    </x:row>
    <x:row r="9">
      <x:c r="A9" s="33" t="n">
        <x:v>195</x:v>
      </x:c>
      <x:c r="B9" s="33" t="n">
        <x:v>195</x:v>
      </x:c>
      <x:c r="C9" s="33" t="n">
        <x:v>195</x:v>
      </x:c>
      <x:c r="D9" s="33" t="n">
        <x:v>7140</x:v>
      </x:c>
      <x:c r="E9" s="33" t="n">
        <x:v>7140</x:v>
      </x:c>
      <x:c r="F9" s="33" t="n">
        <x:v>7140</x:v>
      </x:c>
      <x:c r="G9" s="36" t="n">
        <x:v>0.027</x:v>
      </x:c>
      <x:c r="H9" s="36" t="n">
        <x:v>0.027</x:v>
      </x:c>
      <x:c r="I9" s="36" t="n">
        <x:v>0.027</x:v>
      </x:c>
      <x:c r="J9" s="33" t="n">
        <x:v>27.7</x:v>
      </x:c>
      <x:c r="K9" s="33" t="n">
        <x:v>27.7</x:v>
      </x:c>
      <x:c r="L9" s="33" t="n">
        <x:v>27.7</x:v>
      </x:c>
    </x:row>
    <x:row r="10">
      <x:c r="A10" s="35" t="str">
        <x:v>Available data: 11–31 Aug</x:v>
      </x:c>
      <x:c r="B10" s="35" t="str">
        <x:v>Available data: 11–31 Aug</x:v>
      </x:c>
      <x:c r="C10" s="35" t="str">
        <x:v>Available data: 11–31 Aug</x:v>
      </x:c>
      <x:c r="D10" s="35" t="str">
        <x:v>Search visibility</x:v>
      </x:c>
      <x:c r="E10" s="35" t="str">
        <x:v>Search visibility</x:v>
      </x:c>
      <x:c r="F10" s="35" t="str">
        <x:v>Search visibility</x:v>
      </x:c>
      <x:c r="G10" s="35" t="str">
        <x:v>Click-through rate</x:v>
      </x:c>
      <x:c r="H10" s="35" t="str">
        <x:v>Click-through rate</x:v>
      </x:c>
      <x:c r="I10" s="35" t="str">
        <x:v>Click-through rate</x:v>
      </x:c>
      <x:c r="J10" s="35" t="str">
        <x:v>GSC weighted average</x:v>
      </x:c>
      <x:c r="K10" s="35" t="str">
        <x:v>GSC weighted average</x:v>
      </x:c>
      <x:c r="L10" s="35" t="str">
        <x:v>GSC weighted average</x:v>
      </x:c>
    </x:row>
    <x:row r="12">
      <x:c r="A12" s="31" t="str">
        <x:v>Indexed pages</x:v>
      </x:c>
      <x:c r="B12" s="31" t="str">
        <x:v>Indexed pages</x:v>
      </x:c>
      <x:c r="C12" s="31" t="str">
        <x:v>Indexed pages</x:v>
      </x:c>
      <x:c r="D12" s="31" t="str">
        <x:v>SE audit score</x:v>
      </x:c>
      <x:c r="E12" s="31" t="str">
        <x:v>SE audit score</x:v>
      </x:c>
      <x:c r="F12" s="31" t="str">
        <x:v>SE audit score</x:v>
      </x:c>
      <x:c r="G12" s="31" t="str">
        <x:v>SE visibility</x:v>
      </x:c>
      <x:c r="H12" s="31" t="str">
        <x:v>SE visibility</x:v>
      </x:c>
      <x:c r="I12" s="31" t="str">
        <x:v>SE visibility</x:v>
      </x:c>
      <x:c r="J12" s="31" t="str">
        <x:v>Domain Trust</x:v>
      </x:c>
      <x:c r="K12" s="31" t="str">
        <x:v>Domain Trust</x:v>
      </x:c>
      <x:c r="L12" s="31" t="str">
        <x:v>Domain Trust</x:v>
      </x:c>
    </x:row>
    <x:row r="13">
      <x:c r="A13" s="33" t="n">
        <x:v>158</x:v>
      </x:c>
      <x:c r="B13" s="33" t="n">
        <x:v>158</x:v>
      </x:c>
      <x:c r="C13" s="33" t="n">
        <x:v>158</x:v>
      </x:c>
      <x:c r="D13" s="33" t="n">
        <x:v>95</x:v>
      </x:c>
      <x:c r="E13" s="33" t="n">
        <x:v>95</x:v>
      </x:c>
      <x:c r="F13" s="33" t="n">
        <x:v>95</x:v>
      </x:c>
      <x:c r="G13" s="36" t="n">
        <x:v>0.0054</x:v>
      </x:c>
      <x:c r="H13" s="36" t="n">
        <x:v>0.0054</x:v>
      </x:c>
      <x:c r="I13" s="36" t="n">
        <x:v>0.0054</x:v>
      </x:c>
      <x:c r="J13" s="33" t="n">
        <x:v>0</x:v>
      </x:c>
      <x:c r="K13" s="33" t="n">
        <x:v>0</x:v>
      </x:c>
      <x:c r="L13" s="33" t="n">
        <x:v>0</x:v>
      </x:c>
    </x:row>
    <x:row r="14">
      <x:c r="A14" s="35" t="str">
        <x:v>52 not indexed</x:v>
      </x:c>
      <x:c r="B14" s="35" t="str">
        <x:v>52 not indexed</x:v>
      </x:c>
      <x:c r="C14" s="35" t="str">
        <x:v>52 not indexed</x:v>
      </x:c>
      <x:c r="D14" s="35" t="str">
        <x:v>0 errors</x:v>
      </x:c>
      <x:c r="E14" s="35" t="str">
        <x:v>0 errors</x:v>
      </x:c>
      <x:c r="F14" s="35" t="str">
        <x:v>0 errors</x:v>
      </x:c>
      <x:c r="G14" s="35" t="str">
        <x:v>Tracked-project visibility</x:v>
      </x:c>
      <x:c r="H14" s="35" t="str">
        <x:v>Tracked-project visibility</x:v>
      </x:c>
      <x:c r="I14" s="35" t="str">
        <x:v>Tracked-project visibility</x:v>
      </x:c>
      <x:c r="J14" s="35" t="str">
        <x:v>Authority bottleneck</x:v>
      </x:c>
      <x:c r="K14" s="35" t="str">
        <x:v>Authority bottleneck</x:v>
      </x:c>
      <x:c r="L14" s="35" t="str">
        <x:v>Authority bottleneck</x:v>
      </x:c>
    </x:row>
    <x:row r="17" ht="23" customHeight="1">
      <x:c r="A17" s="9" t="str">
        <x:v>Recommended 90-day sequence</x:v>
      </x:c>
      <x:c r="B17" s="9" t="str">
        <x:v>Recommended 90-day sequence</x:v>
      </x:c>
      <x:c r="C17" s="9" t="str">
        <x:v>Recommended 90-day sequence</x:v>
      </x:c>
      <x:c r="D17" s="9" t="str">
        <x:v>Recommended 90-day sequence</x:v>
      </x:c>
      <x:c r="E17" s="9" t="str">
        <x:v>Recommended 90-day sequence</x:v>
      </x:c>
      <x:c r="F17" s="9" t="str">
        <x:v>Recommended 90-day sequence</x:v>
      </x:c>
      <x:c r="G17" s="9" t="str">
        <x:v>Recommended 90-day sequence</x:v>
      </x:c>
      <x:c r="H17" s="9" t="str">
        <x:v>Recommended 90-day sequence</x:v>
      </x:c>
      <x:c r="I17" s="9" t="str">
        <x:v>Recommended 90-day sequence</x:v>
      </x:c>
      <x:c r="J17" s="9" t="str">
        <x:v>Recommended 90-day sequence</x:v>
      </x:c>
      <x:c r="K17" s="9" t="str">
        <x:v>Recommended 90-day sequence</x:v>
      </x:c>
      <x:c r="L17" s="9" t="str">
        <x:v>Recommended 90-day sequence</x:v>
      </x:c>
      <x:c r="M17" s="9" t="str">
        <x:v>Recommended 90-day sequence</x:v>
      </x:c>
      <x:c r="N17" s="9" t="str">
        <x:v>Recommended 90-day sequence</x:v>
      </x:c>
    </x:row>
    <x:row r="18" ht="30" customHeight="1">
      <x:c r="A18" s="40" t="str">
        <x:v>Priority</x:v>
      </x:c>
      <x:c r="B18" s="40" t="str">
        <x:v>Workstream</x:v>
      </x:c>
      <x:c r="C18" s="40" t="str">
        <x:v>Action</x:v>
      </x:c>
      <x:c r="D18" s="40" t="str">
        <x:v>Timing</x:v>
      </x:c>
      <x:c r="E18" s="40" t="str"/>
      <x:c r="F18" s="40" t="str"/>
      <x:c r="G18" s="40" t="str"/>
      <x:c r="H18" s="40" t="str"/>
      <x:c r="I18" s="40" t="str"/>
      <x:c r="J18" s="40" t="str"/>
      <x:c r="K18" s="40" t="str"/>
      <x:c r="L18" s="40" t="str"/>
      <x:c r="M18" s="40" t="str"/>
      <x:c r="N18" s="40" t="str"/>
    </x:row>
    <x:row r="19" ht="38" customHeight="1">
      <x:c r="A19" s="45" t="str">
        <x:v>P1</x:v>
      </x:c>
      <x:c r="B19" s="45" t="str">
        <x:v>Indexation</x:v>
      </x:c>
      <x:c r="C19" s="45" t="str">
        <x:v>Investigate 40 discovered-not-indexed URLs; validate sitemap value, internal linking, canonicals, and old /species redirects.</x:v>
      </x:c>
      <x:c r="D19" s="45" t="str">
        <x:v>Investigate 40 discovered-not-indexed URLs; validate sitemap value, internal linking, canonicals, and old /species redirects.</x:v>
      </x:c>
      <x:c r="E19" s="45" t="str">
        <x:v>Investigate 40 discovered-not-indexed URLs; validate sitemap value, internal linking, canonicals, and old /species redirects.</x:v>
      </x:c>
      <x:c r="F19" s="45" t="str">
        <x:v>Investigate 40 discovered-not-indexed URLs; validate sitemap value, internal linking, canonicals, and old /species redirects.</x:v>
      </x:c>
      <x:c r="G19" s="45" t="str">
        <x:v>Investigate 40 discovered-not-indexed URLs; validate sitemap value, internal linking, canonicals, and old /species redirects.</x:v>
      </x:c>
      <x:c r="H19" s="45" t="str">
        <x:v>Investigate 40 discovered-not-indexed URLs; validate sitemap value, internal linking, canonicals, and old /species redirects.</x:v>
      </x:c>
      <x:c r="I19" s="45" t="str">
        <x:v>Investigate 40 discovered-not-indexed URLs; validate sitemap value, internal linking, canonicals, and old /species redirects.</x:v>
      </x:c>
      <x:c r="J19" s="45" t="str">
        <x:v>Investigate 40 discovered-not-indexed URLs; validate sitemap value, internal linking, canonicals, and old /species redirects.</x:v>
      </x:c>
      <x:c r="K19" s="45" t="str">
        <x:v>Investigate 40 discovered-not-indexed URLs; validate sitemap value, internal linking, canonicals, and old /species redirects.</x:v>
      </x:c>
      <x:c r="L19" s="45" t="str">
        <x:v>Investigate 40 discovered-not-indexed URLs; validate sitemap value, internal linking, canonicals, and old /species redirects.</x:v>
      </x:c>
      <x:c r="M19" s="45" t="str">
        <x:v>2–3 weeks</x:v>
      </x:c>
      <x:c r="N19" s="45" t="str">
        <x:v>2–3 weeks</x:v>
      </x:c>
    </x:row>
    <x:row r="20" ht="38" customHeight="1">
      <x:c r="A20" s="45" t="str">
        <x:v>P1</x:v>
      </x:c>
      <x:c r="B20" s="45" t="str">
        <x:v>CTR</x:v>
      </x:c>
      <x:c r="C20" s="45" t="str">
        <x:v>Rewrite titles/descriptions for /bolets and /bolets-d-estiu; align snippets with high-impression query language.</x:v>
      </x:c>
      <x:c r="D20" s="45" t="str">
        <x:v>Rewrite titles/descriptions for /bolets and /bolets-d-estiu; align snippets with high-impression query language.</x:v>
      </x:c>
      <x:c r="E20" s="45" t="str">
        <x:v>Rewrite titles/descriptions for /bolets and /bolets-d-estiu; align snippets with high-impression query language.</x:v>
      </x:c>
      <x:c r="F20" s="45" t="str">
        <x:v>Rewrite titles/descriptions for /bolets and /bolets-d-estiu; align snippets with high-impression query language.</x:v>
      </x:c>
      <x:c r="G20" s="45" t="str">
        <x:v>Rewrite titles/descriptions for /bolets and /bolets-d-estiu; align snippets with high-impression query language.</x:v>
      </x:c>
      <x:c r="H20" s="45" t="str">
        <x:v>Rewrite titles/descriptions for /bolets and /bolets-d-estiu; align snippets with high-impression query language.</x:v>
      </x:c>
      <x:c r="I20" s="45" t="str">
        <x:v>Rewrite titles/descriptions for /bolets and /bolets-d-estiu; align snippets with high-impression query language.</x:v>
      </x:c>
      <x:c r="J20" s="45" t="str">
        <x:v>Rewrite titles/descriptions for /bolets and /bolets-d-estiu; align snippets with high-impression query language.</x:v>
      </x:c>
      <x:c r="K20" s="45" t="str">
        <x:v>Rewrite titles/descriptions for /bolets and /bolets-d-estiu; align snippets with high-impression query language.</x:v>
      </x:c>
      <x:c r="L20" s="45" t="str">
        <x:v>Rewrite titles/descriptions for /bolets and /bolets-d-estiu; align snippets with high-impression query language.</x:v>
      </x:c>
      <x:c r="M20" s="45" t="str">
        <x:v>2 weeks</x:v>
      </x:c>
      <x:c r="N20" s="45" t="str">
        <x:v>2 weeks</x:v>
      </x:c>
    </x:row>
    <x:row r="21" ht="38" customHeight="1">
      <x:c r="A21" s="45" t="str">
        <x:v>P1</x:v>
      </x:c>
      <x:c r="B21" s="45" t="str">
        <x:v>Near-win rankings</x:v>
      </x:c>
      <x:c r="C21" s="45" t="str">
        <x:v>Refresh pages targeting ceps, poisonous lookalikes, rossinyol, pinetells, spring mushrooms, and cama de perdiu.</x:v>
      </x:c>
      <x:c r="D21" s="45" t="str">
        <x:v>Refresh pages targeting ceps, poisonous lookalikes, rossinyol, pinetells, spring mushrooms, and cama de perdiu.</x:v>
      </x:c>
      <x:c r="E21" s="45" t="str">
        <x:v>Refresh pages targeting ceps, poisonous lookalikes, rossinyol, pinetells, spring mushrooms, and cama de perdiu.</x:v>
      </x:c>
      <x:c r="F21" s="45" t="str">
        <x:v>Refresh pages targeting ceps, poisonous lookalikes, rossinyol, pinetells, spring mushrooms, and cama de perdiu.</x:v>
      </x:c>
      <x:c r="G21" s="45" t="str">
        <x:v>Refresh pages targeting ceps, poisonous lookalikes, rossinyol, pinetells, spring mushrooms, and cama de perdiu.</x:v>
      </x:c>
      <x:c r="H21" s="45" t="str">
        <x:v>Refresh pages targeting ceps, poisonous lookalikes, rossinyol, pinetells, spring mushrooms, and cama de perdiu.</x:v>
      </x:c>
      <x:c r="I21" s="45" t="str">
        <x:v>Refresh pages targeting ceps, poisonous lookalikes, rossinyol, pinetells, spring mushrooms, and cama de perdiu.</x:v>
      </x:c>
      <x:c r="J21" s="45" t="str">
        <x:v>Refresh pages targeting ceps, poisonous lookalikes, rossinyol, pinetells, spring mushrooms, and cama de perdiu.</x:v>
      </x:c>
      <x:c r="K21" s="45" t="str">
        <x:v>Refresh pages targeting ceps, poisonous lookalikes, rossinyol, pinetells, spring mushrooms, and cama de perdiu.</x:v>
      </x:c>
      <x:c r="L21" s="45" t="str">
        <x:v>Refresh pages targeting ceps, poisonous lookalikes, rossinyol, pinetells, spring mushrooms, and cama de perdiu.</x:v>
      </x:c>
      <x:c r="M21" s="45" t="str">
        <x:v>3–6 weeks</x:v>
      </x:c>
      <x:c r="N21" s="45" t="str">
        <x:v>3–6 weeks</x:v>
      </x:c>
    </x:row>
    <x:row r="22" ht="38" customHeight="1">
      <x:c r="A22" s="45" t="str">
        <x:v>P1</x:v>
      </x:c>
      <x:c r="B22" s="45" t="str">
        <x:v>Content expansion</x:v>
      </x:c>
      <x:c r="C22" s="45" t="str">
        <x:v>Ship bilingual glossary, responsible hunting guide, preservation hub, and safety/confusion pages with strong internal links.</x:v>
      </x:c>
      <x:c r="D22" s="45" t="str">
        <x:v>Ship bilingual glossary, responsible hunting guide, preservation hub, and safety/confusion pages with strong internal links.</x:v>
      </x:c>
      <x:c r="E22" s="45" t="str">
        <x:v>Ship bilingual glossary, responsible hunting guide, preservation hub, and safety/confusion pages with strong internal links.</x:v>
      </x:c>
      <x:c r="F22" s="45" t="str">
        <x:v>Ship bilingual glossary, responsible hunting guide, preservation hub, and safety/confusion pages with strong internal links.</x:v>
      </x:c>
      <x:c r="G22" s="45" t="str">
        <x:v>Ship bilingual glossary, responsible hunting guide, preservation hub, and safety/confusion pages with strong internal links.</x:v>
      </x:c>
      <x:c r="H22" s="45" t="str">
        <x:v>Ship bilingual glossary, responsible hunting guide, preservation hub, and safety/confusion pages with strong internal links.</x:v>
      </x:c>
      <x:c r="I22" s="45" t="str">
        <x:v>Ship bilingual glossary, responsible hunting guide, preservation hub, and safety/confusion pages with strong internal links.</x:v>
      </x:c>
      <x:c r="J22" s="45" t="str">
        <x:v>Ship bilingual glossary, responsible hunting guide, preservation hub, and safety/confusion pages with strong internal links.</x:v>
      </x:c>
      <x:c r="K22" s="45" t="str">
        <x:v>Ship bilingual glossary, responsible hunting guide, preservation hub, and safety/confusion pages with strong internal links.</x:v>
      </x:c>
      <x:c r="L22" s="45" t="str">
        <x:v>Ship bilingual glossary, responsible hunting guide, preservation hub, and safety/confusion pages with strong internal links.</x:v>
      </x:c>
      <x:c r="M22" s="45" t="str">
        <x:v>4–8 weeks</x:v>
      </x:c>
      <x:c r="N22" s="45" t="str">
        <x:v>4–8 weeks</x:v>
      </x:c>
    </x:row>
    <x:row r="23" ht="38" customHeight="1">
      <x:c r="A23" s="46" t="str">
        <x:v>P2</x:v>
      </x:c>
      <x:c r="B23" s="46" t="str">
        <x:v>Authority</x:v>
      </x:c>
      <x:c r="C23" s="46" t="str">
        <x:v>Earn relevant citations from Catalan nature, tourism, forestry, and mycology organizations; GSC links data is still processing.</x:v>
      </x:c>
      <x:c r="D23" s="46" t="str">
        <x:v>Earn relevant citations from Catalan nature, tourism, forestry, and mycology organizations; GSC links data is still processing.</x:v>
      </x:c>
      <x:c r="E23" s="46" t="str">
        <x:v>Earn relevant citations from Catalan nature, tourism, forestry, and mycology organizations; GSC links data is still processing.</x:v>
      </x:c>
      <x:c r="F23" s="46" t="str">
        <x:v>Earn relevant citations from Catalan nature, tourism, forestry, and mycology organizations; GSC links data is still processing.</x:v>
      </x:c>
      <x:c r="G23" s="46" t="str">
        <x:v>Earn relevant citations from Catalan nature, tourism, forestry, and mycology organizations; GSC links data is still processing.</x:v>
      </x:c>
      <x:c r="H23" s="46" t="str">
        <x:v>Earn relevant citations from Catalan nature, tourism, forestry, and mycology organizations; GSC links data is still processing.</x:v>
      </x:c>
      <x:c r="I23" s="46" t="str">
        <x:v>Earn relevant citations from Catalan nature, tourism, forestry, and mycology organizations; GSC links data is still processing.</x:v>
      </x:c>
      <x:c r="J23" s="46" t="str">
        <x:v>Earn relevant citations from Catalan nature, tourism, forestry, and mycology organizations; GSC links data is still processing.</x:v>
      </x:c>
      <x:c r="K23" s="46" t="str">
        <x:v>Earn relevant citations from Catalan nature, tourism, forestry, and mycology organizations; GSC links data is still processing.</x:v>
      </x:c>
      <x:c r="L23" s="46" t="str">
        <x:v>Earn relevant citations from Catalan nature, tourism, forestry, and mycology organizations; GSC links data is still processing.</x:v>
      </x:c>
      <x:c r="M23" s="46" t="str">
        <x:v>Ongoing</x:v>
      </x:c>
      <x:c r="N23" s="46" t="str">
        <x:v>Ongoing</x:v>
      </x:c>
    </x:row>
    <x:row r="26" ht="23" customHeight="1">
      <x:c r="A26" s="9" t="str">
        <x:v>Top organic competitors — average visibility across three tracked engines</x:v>
      </x:c>
      <x:c r="B26" s="9" t="str">
        <x:v>Top organic competitors — average visibility across three tracked engines</x:v>
      </x:c>
      <x:c r="C26" s="9" t="str">
        <x:v>Top organic competitors — average visibility across three tracked engines</x:v>
      </x:c>
      <x:c r="D26" s="9" t="str">
        <x:v>Top organic competitors — average visibility across three tracked engines</x:v>
      </x:c>
      <x:c r="E26" s="9" t="str">
        <x:v>Top organic competitors — average visibility across three tracked engines</x:v>
      </x:c>
      <x:c r="F26" s="9" t="str">
        <x:v>Top organic competitors — average visibility across three tracked engines</x:v>
      </x:c>
      <x:c r="G26" s="9" t="str">
        <x:v>Top organic competitors — average visibility across three tracked engines</x:v>
      </x:c>
      <x:c r="H26" s="9" t="str">
        <x:v>Top organic competitors — average visibility across three tracked engines</x:v>
      </x:c>
      <x:c r="I26" s="9" t="str">
        <x:v>Top organic competitors — average visibility across three tracked engines</x:v>
      </x:c>
      <x:c r="J26" s="9" t="str">
        <x:v>Top organic competitors — average visibility across three tracked engines</x:v>
      </x:c>
      <x:c r="K26" s="9" t="str">
        <x:v>Top organic competitors — average visibility across three tracked engines</x:v>
      </x:c>
      <x:c r="L26" s="9" t="str">
        <x:v>Top organic competitors — average visibility across three tracked engines</x:v>
      </x:c>
      <x:c r="M26" s="9" t="str">
        <x:v>Top organic competitors — average visibility across three tracked engines</x:v>
      </x:c>
      <x:c r="N26" s="9" t="str">
        <x:v>Top organic competitors — average visibility across three tracked engines</x:v>
      </x:c>
    </x:row>
    <x:row r="27" ht="30" customHeight="1">
      <x:c r="A27" s="40" t="str">
        <x:v>Domain</x:v>
      </x:c>
      <x:c r="B27" s="40" t="str">
        <x:v>Average visibility (%)</x:v>
      </x:c>
    </x:row>
    <x:row r="28">
      <x:c r="A28" s="44" t="str">
        <x:v>www.bolets.com</x:v>
      </x:c>
      <x:c r="B28" s="47" t="n">
        <x:v>36.28333333333333</x:v>
      </x:c>
    </x:row>
    <x:row r="29">
      <x:c r="A29" s="44" t="str">
        <x:v>lacasadelassetas.com</x:v>
      </x:c>
      <x:c r="B29" s="47" t="n">
        <x:v>26.733333333333334</x:v>
      </x:c>
    </x:row>
    <x:row r="30">
      <x:c r="A30" s="44" t="str">
        <x:v>elmedinaturaldelbages.cat</x:v>
      </x:c>
      <x:c r="B30" s="47" t="n">
        <x:v>11.273333333333333</x:v>
      </x:c>
    </x:row>
    <x:row r="31">
      <x:c r="A31" s="44" t="str">
        <x:v>www.trufascoll.com</x:v>
      </x:c>
      <x:c r="B31" s="47" t="n">
        <x:v>9.996666666666668</x:v>
      </x:c>
    </x:row>
    <x:row r="32">
      <x:c r="A32" s="44" t="str">
        <x:v>boletsbergueda.cat</x:v>
      </x:c>
      <x:c r="B32" s="47" t="n">
        <x:v>7.263333333333333</x:v>
      </x:c>
    </x:row>
    <x:row r="33">
      <x:c r="A33" s="44" t="str">
        <x:v>bolets.info</x:v>
      </x:c>
      <x:c r="B33" s="47" t="n">
        <x:v>2.0866666666666664</x:v>
      </x:c>
    </x:row>
    <x:row r="34">
      <x:c r="A34" s="44" t="str">
        <x:v>www.vadebolets.cat</x:v>
      </x:c>
      <x:c r="B34" s="47" t="n">
        <x:v>0.8733333333333334</x:v>
      </x:c>
    </x:row>
    <x:row r="35">
      <x:c r="A35" s="44" t="str">
        <x:v>bolets.app</x:v>
      </x:c>
      <x:c r="B35" s="47" t="n">
        <x:v>0.54</x:v>
      </x:c>
    </x:row>
    <x:row r="36">
      <x:c r="A36" s="44" t="str">
        <x:v>www.micocat.org</x:v>
      </x:c>
      <x:c r="B36" s="47" t="n">
        <x:v>0.5266666666666666</x:v>
      </x:c>
    </x:row>
  </x:sheetData>
  <x:mergeCells>
    <x:mergeCell ref="A1:N1"/>
    <x:mergeCell ref="A2:N2"/>
    <x:mergeCell ref="A4:N4"/>
    <x:mergeCell ref="A5:N6"/>
    <x:mergeCell ref="A8:C8"/>
    <x:mergeCell ref="A9:C9"/>
    <x:mergeCell ref="A10:C10"/>
    <x:mergeCell ref="D8:F8"/>
    <x:mergeCell ref="D9:F9"/>
    <x:mergeCell ref="D10:F10"/>
    <x:mergeCell ref="G8:I8"/>
    <x:mergeCell ref="G9:I9"/>
    <x:mergeCell ref="G10:I10"/>
    <x:mergeCell ref="J8:L8"/>
    <x:mergeCell ref="J9:L9"/>
    <x:mergeCell ref="J10:L10"/>
    <x:mergeCell ref="A12:C12"/>
    <x:mergeCell ref="A13:C13"/>
    <x:mergeCell ref="A14:C14"/>
    <x:mergeCell ref="D12:F12"/>
    <x:mergeCell ref="D13:F13"/>
    <x:mergeCell ref="D14:F14"/>
    <x:mergeCell ref="G12:I12"/>
    <x:mergeCell ref="G13:I13"/>
    <x:mergeCell ref="G14:I14"/>
    <x:mergeCell ref="J12:L12"/>
    <x:mergeCell ref="J13:L13"/>
    <x:mergeCell ref="J14:L14"/>
    <x:mergeCell ref="A17:N17"/>
    <x:mergeCell ref="C18:L18"/>
    <x:mergeCell ref="M18:N18"/>
    <x:mergeCell ref="C19:L19"/>
    <x:mergeCell ref="M19:N19"/>
    <x:mergeCell ref="C20:L20"/>
    <x:mergeCell ref="M20:N20"/>
    <x:mergeCell ref="C21:L21"/>
    <x:mergeCell ref="M21:N21"/>
    <x:mergeCell ref="C22:L22"/>
    <x:mergeCell ref="M22:N22"/>
    <x:mergeCell ref="C23:L23"/>
    <x:mergeCell ref="M23:N23"/>
    <x:mergeCell ref="A26:N26"/>
  </x:mergeCells>
  <x:pageMargins left="0.7" right="0.7" top="0.75" bottom="0.75" header="0.3" footer="0.3"/>
  <x:drawing xmlns:r="http://schemas.openxmlformats.org/officeDocument/2006/relationships" r:id="R38380c0af31a4589"/>
</x:worksheet>
</file>

<file path=xl/worksheets/sheet2.xml><?xml version="1.0" encoding="utf-8"?>
<x:worksheet xmlns:x="http://schemas.openxmlformats.org/spreadsheetml/2006/main">
  <x:sheetViews>
    <x:sheetView showGridLines="0" workbookViewId="0"/>
  </x:sheetViews>
  <x:sheetFormatPr defaultRowHeight="15"/>
  <x:cols>
    <x:col min="1" max="1" width="21" hidden="0" customWidth="1"/>
    <x:col min="2" max="2" width="31" hidden="0" customWidth="1"/>
    <x:col min="3" max="3" width="12" hidden="0" customWidth="1"/>
    <x:col min="4" max="4" width="13" hidden="0" customWidth="1"/>
    <x:col min="5" max="5" width="14" hidden="0" customWidth="1"/>
    <x:col min="6" max="6" width="10" hidden="0" customWidth="1"/>
    <x:col min="7" max="7" width="12" hidden="0" customWidth="1"/>
    <x:col min="8" max="8" width="11" hidden="0" customWidth="1"/>
    <x:col min="9" max="9" width="15" hidden="0" customWidth="1"/>
    <x:col min="10" max="10" width="10" hidden="0" customWidth="1"/>
    <x:col min="11" max="11" width="35" hidden="0" customWidth="1"/>
    <x:col min="12" max="12" width="40" hidden="0" customWidth="1"/>
    <x:col min="13" max="13" width="25" hidden="0" customWidth="1"/>
    <x:col min="14" max="14" width="35" hidden="0" customWidth="1"/>
  </x:cols>
  <x:sheetData>
    <x:row r="1" ht="34" customHeight="1">
      <x:c r="A1" s="3" t="str">
        <x:v>Keyword clusters and publishing map</x:v>
      </x:c>
      <x:c r="B1" s="3" t="str">
        <x:v>Keyword clusters and publishing map</x:v>
      </x:c>
      <x:c r="C1" s="3" t="str">
        <x:v>Keyword clusters and publishing map</x:v>
      </x:c>
      <x:c r="D1" s="3" t="str">
        <x:v>Keyword clusters and publishing map</x:v>
      </x:c>
      <x:c r="E1" s="3" t="str">
        <x:v>Keyword clusters and publishing map</x:v>
      </x:c>
      <x:c r="F1" s="3" t="str">
        <x:v>Keyword clusters and publishing map</x:v>
      </x:c>
      <x:c r="G1" s="3" t="str">
        <x:v>Keyword clusters and publishing map</x:v>
      </x:c>
      <x:c r="H1" s="3" t="str">
        <x:v>Keyword clusters and publishing map</x:v>
      </x:c>
      <x:c r="I1" s="3" t="str">
        <x:v>Keyword clusters and publishing map</x:v>
      </x:c>
      <x:c r="J1" s="3" t="str">
        <x:v>Keyword clusters and publishing map</x:v>
      </x:c>
      <x:c r="K1" s="3" t="str">
        <x:v>Keyword clusters and publishing map</x:v>
      </x:c>
      <x:c r="L1" s="3" t="str">
        <x:v>Keyword clusters and publishing map</x:v>
      </x:c>
      <x:c r="M1" s="3" t="str">
        <x:v>Keyword clusters and publishing map</x:v>
      </x:c>
      <x:c r="N1" s="3" t="str">
        <x:v>Keyword clusters and publishing map</x:v>
      </x:c>
    </x:row>
    <x:row r="2" ht="28" customHeight="1">
      <x:c r="A2" s="6" t="str">
        <x:v>Search volume, difficulty and paid competition are SE Ranking estimates for Spain; paid competition is not SEO difficulty.</x:v>
      </x:c>
      <x:c r="B2" s="6" t="str">
        <x:v>Search volume, difficulty and paid competition are SE Ranking estimates for Spain; paid competition is not SEO difficulty.</x:v>
      </x:c>
      <x:c r="C2" s="6" t="str">
        <x:v>Search volume, difficulty and paid competition are SE Ranking estimates for Spain; paid competition is not SEO difficulty.</x:v>
      </x:c>
      <x:c r="D2" s="6" t="str">
        <x:v>Search volume, difficulty and paid competition are SE Ranking estimates for Spain; paid competition is not SEO difficulty.</x:v>
      </x:c>
      <x:c r="E2" s="6" t="str">
        <x:v>Search volume, difficulty and paid competition are SE Ranking estimates for Spain; paid competition is not SEO difficulty.</x:v>
      </x:c>
      <x:c r="F2" s="6" t="str">
        <x:v>Search volume, difficulty and paid competition are SE Ranking estimates for Spain; paid competition is not SEO difficulty.</x:v>
      </x:c>
      <x:c r="G2" s="6" t="str">
        <x:v>Search volume, difficulty and paid competition are SE Ranking estimates for Spain; paid competition is not SEO difficulty.</x:v>
      </x:c>
      <x:c r="H2" s="6" t="str">
        <x:v>Search volume, difficulty and paid competition are SE Ranking estimates for Spain; paid competition is not SEO difficulty.</x:v>
      </x:c>
      <x:c r="I2" s="6" t="str">
        <x:v>Search volume, difficulty and paid competition are SE Ranking estimates for Spain; paid competition is not SEO difficulty.</x:v>
      </x:c>
      <x:c r="J2" s="6" t="str">
        <x:v>Search volume, difficulty and paid competition are SE Ranking estimates for Spain; paid competition is not SEO difficulty.</x:v>
      </x:c>
      <x:c r="K2" s="6" t="str">
        <x:v>Search volume, difficulty and paid competition are SE Ranking estimates for Spain; paid competition is not SEO difficulty.</x:v>
      </x:c>
      <x:c r="L2" s="6" t="str">
        <x:v>Search volume, difficulty and paid competition are SE Ranking estimates for Spain; paid competition is not SEO difficulty.</x:v>
      </x:c>
      <x:c r="M2" s="6" t="str">
        <x:v>Search volume, difficulty and paid competition are SE Ranking estimates for Spain; paid competition is not SEO difficulty.</x:v>
      </x:c>
      <x:c r="N2" s="6" t="str">
        <x:v>Search volume, difficulty and paid competition are SE Ranking estimates for Spain; paid competition is not SEO difficulty.</x:v>
      </x:c>
    </x:row>
    <x:row r="4" ht="30" customHeight="1">
      <x:c r="A4" s="40" t="str">
        <x:v>Cluster</x:v>
      </x:c>
      <x:c r="B4" s="40" t="str">
        <x:v>Keyword</x:v>
      </x:c>
      <x:c r="C4" s="40" t="str">
        <x:v>Volume / mo</x:v>
      </x:c>
      <x:c r="D4" s="40" t="str">
        <x:v>SEO difficulty</x:v>
      </x:c>
      <x:c r="E4" s="40" t="str">
        <x:v>Paid competition</x:v>
      </x:c>
      <x:c r="F4" s="40" t="str">
        <x:v>Intent</x:v>
      </x:c>
      <x:c r="G4" s="40" t="str">
        <x:v>Coverage</x:v>
      </x:c>
      <x:c r="H4" s="40" t="str">
        <x:v>Gap weight</x:v>
      </x:c>
      <x:c r="I4" s="40" t="str">
        <x:v>Opportunity score</x:v>
      </x:c>
      <x:c r="J4" s="40" t="str">
        <x:v>Priority</x:v>
      </x:c>
      <x:c r="K4" s="40" t="str">
        <x:v>Recommended URL</x:v>
      </x:c>
      <x:c r="L4" s="40" t="str">
        <x:v>Recommended action</x:v>
      </x:c>
      <x:c r="M4" s="40" t="str">
        <x:v>Source</x:v>
      </x:c>
      <x:c r="N4" s="40" t="str">
        <x:v>Source URL</x:v>
      </x:c>
    </x:row>
    <x:row r="5">
      <x:c r="A5" s="44" t="str">
        <x:v>Core discovery</x:v>
      </x:c>
      <x:c r="B5" s="44" t="str">
        <x:v>bolets</x:v>
      </x:c>
      <x:c r="C5" s="49" t="n">
        <x:v>2900</x:v>
      </x:c>
      <x:c r="D5" s="50" t="n">
        <x:v>74</x:v>
      </x:c>
      <x:c r="E5" s="47" t="n">
        <x:v>0.05</x:v>
      </x:c>
      <x:c r="F5" s="44" t="str">
        <x:v>I</x:v>
      </x:c>
      <x:c r="G5" s="44" t="str">
        <x:v>Existing</x:v>
      </x:c>
      <x:c r="H5" s="51" t="n">
        <x:f>IF(G5="Missing",1,IF(G5="Partial",0.7,0.4))</x:f>
        <x:v>0.4</x:v>
      </x:c>
      <x:c r="I5" s="51" t="n">
        <x:f>IF(C5="","",ROUND(LN(C5+1)*(101-D5)*H5,1))</x:f>
        <x:v>86.1</x:v>
      </x:c>
      <x:c r="J5" s="46" t="str">
        <x:v>P2</x:v>
      </x:c>
      <x:c r="K5" s="44" t="str">
        <x:v>/bolets</x:v>
      </x:c>
      <x:c r="L5" s="44" t="str">
        <x:v>Strengthen category intent and internal links</x:v>
      </x:c>
      <x:c r="M5" s="44" t="str">
        <x:v>SE Ranking related keywords</x:v>
      </x:c>
      <x:c r="N5" s="44" t="str">
        <x:v>https://seranking.com/</x:v>
      </x:c>
    </x:row>
    <x:row r="6">
      <x:c r="A6" s="44" t="str">
        <x:v>Core discovery</x:v>
      </x:c>
      <x:c r="B6" s="44" t="str">
        <x:v>bolets comestibles</x:v>
      </x:c>
      <x:c r="C6" s="49" t="n">
        <x:v>590</x:v>
      </x:c>
      <x:c r="D6" s="50" t="n">
        <x:v>9</x:v>
      </x:c>
      <x:c r="E6" s="47" t="n">
        <x:v>0.03</x:v>
      </x:c>
      <x:c r="F6" s="44" t="str">
        <x:v>I</x:v>
      </x:c>
      <x:c r="G6" s="44" t="str">
        <x:v>Existing</x:v>
      </x:c>
      <x:c r="H6" s="51" t="n">
        <x:f>IF(G6="Missing",1,IF(G6="Partial",0.7,0.4))</x:f>
        <x:v>0.4</x:v>
      </x:c>
      <x:c r="I6" s="51" t="n">
        <x:f>IF(C6="","",ROUND(LN(C6+1)*(101-D6)*H6,1))</x:f>
        <x:v>234.9</x:v>
      </x:c>
      <x:c r="J6" s="45" t="str">
        <x:v>P1</x:v>
      </x:c>
      <x:c r="K6" s="44" t="str">
        <x:v>/bolets-comestibles</x:v>
      </x:c>
      <x:c r="L6" s="44" t="str">
        <x:v>Move from page 2 toward top 5 with clearer taxonomy and comparison links</x:v>
      </x:c>
      <x:c r="M6" s="44" t="str">
        <x:v>SE Ranking related keywords</x:v>
      </x:c>
      <x:c r="N6" s="44" t="str">
        <x:v>https://seranking.com/</x:v>
      </x:c>
    </x:row>
    <x:row r="7">
      <x:c r="A7" s="44" t="str">
        <x:v>Core discovery</x:v>
      </x:c>
      <x:c r="B7" s="44" t="str">
        <x:v>bolets comestibles catalunya</x:v>
      </x:c>
      <x:c r="C7" s="49" t="n">
        <x:v>390</x:v>
      </x:c>
      <x:c r="D7" s="50" t="n">
        <x:v>9</x:v>
      </x:c>
      <x:c r="E7" s="47" t="n">
        <x:v>0.03</x:v>
      </x:c>
      <x:c r="F7" s="44" t="str">
        <x:v>I</x:v>
      </x:c>
      <x:c r="G7" s="44" t="str">
        <x:v>Existing</x:v>
      </x:c>
      <x:c r="H7" s="51" t="n">
        <x:f>IF(G7="Missing",1,IF(G7="Partial",0.7,0.4))</x:f>
        <x:v>0.4</x:v>
      </x:c>
      <x:c r="I7" s="51" t="n">
        <x:f>IF(C7="","",ROUND(LN(C7+1)*(101-D7)*H7,1))</x:f>
        <x:v>219.6</x:v>
      </x:c>
      <x:c r="J7" s="45" t="str">
        <x:v>P1</x:v>
      </x:c>
      <x:c r="K7" s="44" t="str">
        <x:v>/bolets-comestibles</x:v>
      </x:c>
      <x:c r="L7" s="44" t="str">
        <x:v>Primary low-difficulty Catalonia category term</x:v>
      </x:c>
      <x:c r="M7" s="44" t="str">
        <x:v>SE Ranking related keywords</x:v>
      </x:c>
      <x:c r="N7" s="44" t="str">
        <x:v>https://seranking.com/</x:v>
      </x:c>
    </x:row>
    <x:row r="8">
      <x:c r="A8" s="44" t="str">
        <x:v>Core discovery</x:v>
      </x:c>
      <x:c r="B8" s="44" t="str">
        <x:v>bolets catalunya</x:v>
      </x:c>
      <x:c r="C8" s="49" t="n">
        <x:v>390</x:v>
      </x:c>
      <x:c r="D8" s="50" t="n">
        <x:v>5</x:v>
      </x:c>
      <x:c r="E8" s="47" t="n">
        <x:v>0.07</x:v>
      </x:c>
      <x:c r="F8" s="44" t="str">
        <x:v>I</x:v>
      </x:c>
      <x:c r="G8" s="44" t="str">
        <x:v>Existing</x:v>
      </x:c>
      <x:c r="H8" s="51" t="n">
        <x:f>IF(G8="Missing",1,IF(G8="Partial",0.7,0.4))</x:f>
        <x:v>0.4</x:v>
      </x:c>
      <x:c r="I8" s="51" t="n">
        <x:f>IF(C8="","",ROUND(LN(C8+1)*(101-D8)*H8,1))</x:f>
        <x:v>229.2</x:v>
      </x:c>
      <x:c r="J8" s="45" t="str">
        <x:v>P1</x:v>
      </x:c>
      <x:c r="K8" s="44" t="str">
        <x:v>/</x:v>
      </x:c>
      <x:c r="L8" s="44" t="str">
        <x:v>Clarify home-page search proposition</x:v>
      </x:c>
      <x:c r="M8" s="44" t="str">
        <x:v>SE Ranking related keywords</x:v>
      </x:c>
      <x:c r="N8" s="44" t="str">
        <x:v>https://seranking.com/</x:v>
      </x:c>
    </x:row>
    <x:row r="9">
      <x:c r="A9" s="44" t="str">
        <x:v>Core discovery</x:v>
      </x:c>
      <x:c r="B9" s="44" t="str">
        <x:v>bolets de catalunya</x:v>
      </x:c>
      <x:c r="C9" s="49" t="n">
        <x:v>320</x:v>
      </x:c>
      <x:c r="D9" s="50" t="n">
        <x:v>8</x:v>
      </x:c>
      <x:c r="E9" s="47" t="n">
        <x:v>0.2</x:v>
      </x:c>
      <x:c r="F9" s="44" t="str">
        <x:v>I</x:v>
      </x:c>
      <x:c r="G9" s="44" t="str">
        <x:v>Existing</x:v>
      </x:c>
      <x:c r="H9" s="51" t="n">
        <x:f>IF(G9="Missing",1,IF(G9="Partial",0.7,0.4))</x:f>
        <x:v>0.4</x:v>
      </x:c>
      <x:c r="I9" s="51" t="n">
        <x:f>IF(C9="","",ROUND(LN(C9+1)*(101-D9)*H9,1))</x:f>
        <x:v>214.7</x:v>
      </x:c>
      <x:c r="J9" s="45" t="str">
        <x:v>P1</x:v>
      </x:c>
      <x:c r="K9" s="44" t="str">
        <x:v>/</x:v>
      </x:c>
      <x:c r="L9" s="44" t="str">
        <x:v>High-fit category synonym</x:v>
      </x:c>
      <x:c r="M9" s="44" t="str">
        <x:v>SE Ranking related keywords</x:v>
      </x:c>
      <x:c r="N9" s="44" t="str">
        <x:v>https://seranking.com/</x:v>
      </x:c>
    </x:row>
    <x:row r="10">
      <x:c r="A10" s="44" t="str">
        <x:v>Core discovery</x:v>
      </x:c>
      <x:c r="B10" s="44" t="str">
        <x:v>tipus de bolets</x:v>
      </x:c>
      <x:c r="C10" s="49" t="n">
        <x:v>210</x:v>
      </x:c>
      <x:c r="D10" s="50" t="n">
        <x:v>10</x:v>
      </x:c>
      <x:c r="E10" s="47" t="n">
        <x:v>0.01</x:v>
      </x:c>
      <x:c r="F10" s="44" t="str">
        <x:v>I</x:v>
      </x:c>
      <x:c r="G10" s="44" t="str">
        <x:v>Existing</x:v>
      </x:c>
      <x:c r="H10" s="51" t="n">
        <x:f>IF(G10="Missing",1,IF(G10="Partial",0.7,0.4))</x:f>
        <x:v>0.4</x:v>
      </x:c>
      <x:c r="I10" s="51" t="n">
        <x:f>IF(C10="","",ROUND(LN(C10+1)*(101-D10)*H10,1))</x:f>
        <x:v>194.8</x:v>
      </x:c>
      <x:c r="J10" s="45" t="str">
        <x:v>P1</x:v>
      </x:c>
      <x:c r="K10" s="44" t="str">
        <x:v>/bolets</x:v>
      </x:c>
      <x:c r="L10" s="44" t="str">
        <x:v>Improve catalogue intro and indexable type groupings</x:v>
      </x:c>
      <x:c r="M10" s="44" t="str">
        <x:v>SE Ranking related keywords</x:v>
      </x:c>
      <x:c r="N10" s="44" t="str">
        <x:v>https://seranking.com/</x:v>
      </x:c>
    </x:row>
    <x:row r="11">
      <x:c r="A11" s="44" t="str">
        <x:v>Core discovery</x:v>
      </x:c>
      <x:c r="B11" s="44" t="str">
        <x:v>guia de bolets</x:v>
      </x:c>
      <x:c r="C11" s="49" t="n">
        <x:v>110</x:v>
      </x:c>
      <x:c r="D11" s="50" t="n">
        <x:v>10</x:v>
      </x:c>
      <x:c r="E11" s="47" t="n">
        <x:v>0.49</x:v>
      </x:c>
      <x:c r="F11" s="44" t="str">
        <x:v>I</x:v>
      </x:c>
      <x:c r="G11" s="44" t="str">
        <x:v>Existing</x:v>
      </x:c>
      <x:c r="H11" s="51" t="n">
        <x:f>IF(G11="Missing",1,IF(G11="Partial",0.7,0.4))</x:f>
        <x:v>0.4</x:v>
      </x:c>
      <x:c r="I11" s="51" t="n">
        <x:f>IF(C11="","",ROUND(LN(C11+1)*(101-D11)*H11,1))</x:f>
        <x:v>171.4</x:v>
      </x:c>
      <x:c r="J11" s="46" t="str">
        <x:v>P2</x:v>
      </x:c>
      <x:c r="K11" s="44" t="str">
        <x:v>/bolets</x:v>
      </x:c>
      <x:c r="L11" s="44" t="str">
        <x:v>Consolidate guide intent</x:v>
      </x:c>
      <x:c r="M11" s="44" t="str">
        <x:v>SE Ranking related keywords</x:v>
      </x:c>
      <x:c r="N11" s="44" t="str">
        <x:v>https://seranking.com/</x:v>
      </x:c>
    </x:row>
    <x:row r="12">
      <x:c r="A12" s="44" t="str">
        <x:v>Core discovery</x:v>
      </x:c>
      <x:c r="B12" s="44" t="str">
        <x:v>noms de bolets</x:v>
      </x:c>
      <x:c r="C12" s="49" t="n">
        <x:v>110</x:v>
      </x:c>
      <x:c r="D12" s="50" t="n">
        <x:v>7</x:v>
      </x:c>
      <x:c r="E12" s="47" t="n">
        <x:v>0</x:v>
      </x:c>
      <x:c r="F12" s="44" t="str">
        <x:v>I</x:v>
      </x:c>
      <x:c r="G12" s="44" t="str">
        <x:v>Partial</x:v>
      </x:c>
      <x:c r="H12" s="51" t="n">
        <x:f>IF(G12="Missing",1,IF(G12="Partial",0.7,0.4))</x:f>
        <x:v>0.7</x:v>
      </x:c>
      <x:c r="I12" s="51" t="n">
        <x:f>IF(C12="","",ROUND(LN(C12+1)*(101-D12)*H12,1))</x:f>
        <x:v>309.9</x:v>
      </x:c>
      <x:c r="J12" s="45" t="str">
        <x:v>P1</x:v>
      </x:c>
      <x:c r="K12" s="44" t="str">
        <x:v>/noms-de-bolets-catala-castella</x:v>
      </x:c>
      <x:c r="L12" s="44" t="str">
        <x:v>Create a bilingual canonical names glossary</x:v>
      </x:c>
      <x:c r="M12" s="44" t="str">
        <x:v>SE Ranking related keywords</x:v>
      </x:c>
      <x:c r="N12" s="44" t="str">
        <x:v>https://seranking.com/</x:v>
      </x:c>
    </x:row>
    <x:row r="13">
      <x:c r="A13" s="44" t="str">
        <x:v>Live/local intent</x:v>
      </x:c>
      <x:c r="B13" s="44" t="str">
        <x:v>donde hay setas ahora en cataluña</x:v>
      </x:c>
      <x:c r="C13" s="49" t="n">
        <x:v>320</x:v>
      </x:c>
      <x:c r="D13" s="50" t="n">
        <x:v>7</x:v>
      </x:c>
      <x:c r="E13" s="47" t="n">
        <x:v>0</x:v>
      </x:c>
      <x:c r="F13" s="44" t="str">
        <x:v>I</x:v>
      </x:c>
      <x:c r="G13" s="44" t="str">
        <x:v>Partial</x:v>
      </x:c>
      <x:c r="H13" s="51" t="n">
        <x:f>IF(G13="Missing",1,IF(G13="Partial",0.7,0.4))</x:f>
        <x:v>0.7</x:v>
      </x:c>
      <x:c r="I13" s="51" t="n">
        <x:f>IF(C13="","",ROUND(LN(C13+1)*(101-D13)*H13,1))</x:f>
        <x:v>379.8</x:v>
      </x:c>
      <x:c r="J13" s="45" t="str">
        <x:v>P1</x:v>
      </x:c>
      <x:c r="K13" s="44" t="str">
        <x:v>/bolets-avui</x:v>
      </x:c>
      <x:c r="L13" s="44" t="str">
        <x:v>Add a Spanish-accessible discovery bridge without duplicating the product</x:v>
      </x:c>
      <x:c r="M13" s="44" t="str">
        <x:v>SE Ranking related keywords</x:v>
      </x:c>
      <x:c r="N13" s="44" t="str">
        <x:v>https://seranking.com/</x:v>
      </x:c>
    </x:row>
    <x:row r="14">
      <x:c r="A14" s="44" t="str">
        <x:v>Live/local intent</x:v>
      </x:c>
      <x:c r="B14" s="44" t="str">
        <x:v>donde hay setas ahora</x:v>
      </x:c>
      <x:c r="C14" s="49" t="n">
        <x:v>170</x:v>
      </x:c>
      <x:c r="D14" s="50" t="n">
        <x:v>6</x:v>
      </x:c>
      <x:c r="E14" s="47" t="n">
        <x:v>0.02</x:v>
      </x:c>
      <x:c r="F14" s="44" t="str">
        <x:v>I</x:v>
      </x:c>
      <x:c r="G14" s="44" t="str">
        <x:v>Partial</x:v>
      </x:c>
      <x:c r="H14" s="51" t="n">
        <x:f>IF(G14="Missing",1,IF(G14="Partial",0.7,0.4))</x:f>
        <x:v>0.7</x:v>
      </x:c>
      <x:c r="I14" s="51" t="n">
        <x:f>IF(C14="","",ROUND(LN(C14+1)*(101-D14)*H14,1))</x:f>
        <x:v>341.9</x:v>
      </x:c>
      <x:c r="J14" s="46" t="str">
        <x:v>P2</x:v>
      </x:c>
      <x:c r="K14" s="44" t="str">
        <x:v>/bolets-avui</x:v>
      </x:c>
      <x:c r="L14" s="44" t="str">
        <x:v>Capture broader current-conditions intent</x:v>
      </x:c>
      <x:c r="M14" s="44" t="str">
        <x:v>SE Ranking related keywords</x:v>
      </x:c>
      <x:c r="N14" s="44" t="str">
        <x:v>https://seranking.com/</x:v>
      </x:c>
    </x:row>
    <x:row r="15">
      <x:c r="A15" s="44" t="str">
        <x:v>Live/local intent</x:v>
      </x:c>
      <x:c r="B15" s="44" t="str">
        <x:v>donde hay níscalos ahora</x:v>
      </x:c>
      <x:c r="C15" s="49" t="n">
        <x:v>210</x:v>
      </x:c>
      <x:c r="D15" s="50" t="n">
        <x:v>7</x:v>
      </x:c>
      <x:c r="E15" s="47" t="n">
        <x:v>0</x:v>
      </x:c>
      <x:c r="F15" s="44" t="str">
        <x:v>I</x:v>
      </x:c>
      <x:c r="G15" s="44" t="str">
        <x:v>Partial</x:v>
      </x:c>
      <x:c r="H15" s="51" t="n">
        <x:f>IF(G15="Missing",1,IF(G15="Partial",0.7,0.4))</x:f>
        <x:v>0.7</x:v>
      </x:c>
      <x:c r="I15" s="51" t="n">
        <x:f>IF(C15="","",ROUND(LN(C15+1)*(101-D15)*H15,1))</x:f>
        <x:v>352.2</x:v>
      </x:c>
      <x:c r="J15" s="46" t="str">
        <x:v>P2</x:v>
      </x:c>
      <x:c r="K15" s="44" t="str">
        <x:v>/zones/rovellons</x:v>
      </x:c>
      <x:c r="L15" s="44" t="str">
        <x:v>Spanish synonym and current-season explainer</x:v>
      </x:c>
      <x:c r="M15" s="44" t="str">
        <x:v>SE Ranking related keywords</x:v>
      </x:c>
      <x:c r="N15" s="44" t="str">
        <x:v>https://seranking.com/</x:v>
      </x:c>
    </x:row>
    <x:row r="16">
      <x:c r="A16" s="44" t="str">
        <x:v>Live/local intent</x:v>
      </x:c>
      <x:c r="B16" s="44" t="str">
        <x:v>mapa bolets catalunya</x:v>
      </x:c>
      <x:c r="C16" s="49" t="n">
        <x:v>170</x:v>
      </x:c>
      <x:c r="D16" s="50" t="n">
        <x:v>5</x:v>
      </x:c>
      <x:c r="E16" s="47" t="n">
        <x:v>0.04</x:v>
      </x:c>
      <x:c r="F16" s="44" t="str">
        <x:v>I</x:v>
      </x:c>
      <x:c r="G16" s="44" t="str">
        <x:v>Existing</x:v>
      </x:c>
      <x:c r="H16" s="51" t="n">
        <x:f>IF(G16="Missing",1,IF(G16="Partial",0.7,0.4))</x:f>
        <x:v>0.4</x:v>
      </x:c>
      <x:c r="I16" s="51" t="n">
        <x:f>IF(C16="","",ROUND(LN(C16+1)*(101-D16)*H16,1))</x:f>
        <x:v>197.4</x:v>
      </x:c>
      <x:c r="J16" s="45" t="str">
        <x:v>P1</x:v>
      </x:c>
      <x:c r="K16" s="44" t="str">
        <x:v>/map</x:v>
      </x:c>
      <x:c r="L16" s="44" t="str">
        <x:v>Align title/H1/internal anchors around map intent</x:v>
      </x:c>
      <x:c r="M16" s="44" t="str">
        <x:v>SE Ranking related keywords</x:v>
      </x:c>
      <x:c r="N16" s="44" t="str">
        <x:v>https://seranking.com/</x:v>
      </x:c>
    </x:row>
    <x:row r="17">
      <x:c r="A17" s="44" t="str">
        <x:v>Live/local intent</x:v>
      </x:c>
      <x:c r="B17" s="44" t="str">
        <x:v>mapa de setas en cataluña</x:v>
      </x:c>
      <x:c r="C17" s="49" t="n">
        <x:v>70</x:v>
      </x:c>
      <x:c r="D17" s="50" t="n">
        <x:v>11</x:v>
      </x:c>
      <x:c r="E17" s="47" t="n">
        <x:v>0.03</x:v>
      </x:c>
      <x:c r="F17" s="44" t="str">
        <x:v>I</x:v>
      </x:c>
      <x:c r="G17" s="44" t="str">
        <x:v>Partial</x:v>
      </x:c>
      <x:c r="H17" s="51" t="n">
        <x:f>IF(G17="Missing",1,IF(G17="Partial",0.7,0.4))</x:f>
        <x:v>0.7</x:v>
      </x:c>
      <x:c r="I17" s="51" t="n">
        <x:f>IF(C17="","",ROUND(LN(C17+1)*(101-D17)*H17,1))</x:f>
        <x:v>268.5</x:v>
      </x:c>
      <x:c r="J17" s="46" t="str">
        <x:v>P2</x:v>
      </x:c>
      <x:c r="K17" s="44" t="str">
        <x:v>/map</x:v>
      </x:c>
      <x:c r="L17" s="44" t="str">
        <x:v>Spanish discoverability bridge</x:v>
      </x:c>
      <x:c r="M17" s="44" t="str">
        <x:v>SE Ranking related keywords</x:v>
      </x:c>
      <x:c r="N17" s="44" t="str">
        <x:v>https://seranking.com/</x:v>
      </x:c>
    </x:row>
    <x:row r="18">
      <x:c r="A18" s="44" t="str">
        <x:v>Live/local intent</x:v>
      </x:c>
      <x:c r="B18" s="44" t="str">
        <x:v>on trobar bolets aquesta setmana</x:v>
      </x:c>
      <x:c r="C18" s="49" t="n">
        <x:v>140</x:v>
      </x:c>
      <x:c r="D18" s="50" t="n">
        <x:v>5</x:v>
      </x:c>
      <x:c r="E18" s="47" t="n">
        <x:v>0</x:v>
      </x:c>
      <x:c r="F18" s="44" t="str">
        <x:v>I</x:v>
      </x:c>
      <x:c r="G18" s="44" t="str">
        <x:v>Existing</x:v>
      </x:c>
      <x:c r="H18" s="51" t="n">
        <x:f>IF(G18="Missing",1,IF(G18="Partial",0.7,0.4))</x:f>
        <x:v>0.4</x:v>
      </x:c>
      <x:c r="I18" s="51" t="n">
        <x:f>IF(C18="","",ROUND(LN(C18+1)*(101-D18)*H18,1))</x:f>
        <x:v>190</x:v>
      </x:c>
      <x:c r="J18" s="45" t="str">
        <x:v>P1</x:v>
      </x:c>
      <x:c r="K18" s="44" t="str">
        <x:v>/bolets-avui</x:v>
      </x:c>
      <x:c r="L18" s="44" t="str">
        <x:v>Best low-difficulty high-intent opportunity</x:v>
      </x:c>
      <x:c r="M18" s="44" t="str">
        <x:v>SE Ranking related keywords</x:v>
      </x:c>
      <x:c r="N18" s="44" t="str">
        <x:v>https://seranking.com/</x:v>
      </x:c>
    </x:row>
    <x:row r="19">
      <x:c r="A19" s="44" t="str">
        <x:v>Live/local intent</x:v>
      </x:c>
      <x:c r="B19" s="44" t="str">
        <x:v>on trobar bolets ara</x:v>
      </x:c>
      <x:c r="C19" s="49" t="n">
        <x:v>90</x:v>
      </x:c>
      <x:c r="D19" s="50" t="n">
        <x:v>6</x:v>
      </x:c>
      <x:c r="E19" s="47" t="n">
        <x:v>0</x:v>
      </x:c>
      <x:c r="F19" s="44" t="str">
        <x:v>I</x:v>
      </x:c>
      <x:c r="G19" s="44" t="str">
        <x:v>Existing</x:v>
      </x:c>
      <x:c r="H19" s="51" t="n">
        <x:f>IF(G19="Missing",1,IF(G19="Partial",0.7,0.4))</x:f>
        <x:v>0.4</x:v>
      </x:c>
      <x:c r="I19" s="51" t="n">
        <x:f>IF(C19="","",ROUND(LN(C19+1)*(101-D19)*H19,1))</x:f>
        <x:v>171.4</x:v>
      </x:c>
      <x:c r="J19" s="45" t="str">
        <x:v>P1</x:v>
      </x:c>
      <x:c r="K19" s="44" t="str">
        <x:v>/bolets-avui</x:v>
      </x:c>
      <x:c r="L19" s="44" t="str">
        <x:v>Current-condition landing-page optimization</x:v>
      </x:c>
      <x:c r="M19" s="44" t="str">
        <x:v>SE Ranking related keywords</x:v>
      </x:c>
      <x:c r="N19" s="44" t="str">
        <x:v>https://seranking.com/</x:v>
      </x:c>
    </x:row>
    <x:row r="20">
      <x:c r="A20" s="44" t="str">
        <x:v>Live/local intent</x:v>
      </x:c>
      <x:c r="B20" s="44" t="str">
        <x:v>on anar a buscar bolets</x:v>
      </x:c>
      <x:c r="C20" s="49" t="n">
        <x:v>40</x:v>
      </x:c>
      <x:c r="D20" s="50" t="n">
        <x:v>6</x:v>
      </x:c>
      <x:c r="E20" s="47" t="n">
        <x:v>0</x:v>
      </x:c>
      <x:c r="F20" s="44" t="str">
        <x:v>I</x:v>
      </x:c>
      <x:c r="G20" s="44" t="str">
        <x:v>Partial</x:v>
      </x:c>
      <x:c r="H20" s="51" t="n">
        <x:f>IF(G20="Missing",1,IF(G20="Partial",0.7,0.4))</x:f>
        <x:v>0.7</x:v>
      </x:c>
      <x:c r="I20" s="51" t="n">
        <x:f>IF(C20="","",ROUND(LN(C20+1)*(101-D20)*H20,1))</x:f>
        <x:v>247</x:v>
      </x:c>
      <x:c r="J20" s="46" t="str">
        <x:v>P2</x:v>
      </x:c>
      <x:c r="K20" s="44" t="str">
        <x:v>/guia-anar-a-buscar-bolets</x:v>
      </x:c>
      <x:c r="L20" s="44" t="str">
        <x:v>Create practical hunting guide with safe location generalization</x:v>
      </x:c>
      <x:c r="M20" s="44" t="str">
        <x:v>SE Ranking related keywords</x:v>
      </x:c>
      <x:c r="N20" s="44" t="str">
        <x:v>https://seranking.com/</x:v>
      </x:c>
    </x:row>
    <x:row r="21">
      <x:c r="A21" s="44" t="str">
        <x:v>Seasonality</x:v>
      </x:c>
      <x:c r="B21" s="44" t="str">
        <x:v>temporada de bolets</x:v>
      </x:c>
      <x:c r="C21" s="49" t="n">
        <x:v>50</x:v>
      </x:c>
      <x:c r="D21" s="50" t="n">
        <x:v>8</x:v>
      </x:c>
      <x:c r="E21" s="47" t="n">
        <x:v>0</x:v>
      </x:c>
      <x:c r="F21" s="44" t="str">
        <x:v>I</x:v>
      </x:c>
      <x:c r="G21" s="44" t="str">
        <x:v>Existing</x:v>
      </x:c>
      <x:c r="H21" s="51" t="n">
        <x:f>IF(G21="Missing",1,IF(G21="Partial",0.7,0.4))</x:f>
        <x:v>0.4</x:v>
      </x:c>
      <x:c r="I21" s="51" t="n">
        <x:f>IF(C21="","",ROUND(LN(C21+1)*(101-D21)*H21,1))</x:f>
        <x:v>146.3</x:v>
      </x:c>
      <x:c r="J21" s="45" t="str">
        <x:v>P1</x:v>
      </x:c>
      <x:c r="K21" s="44" t="str">
        <x:v>/temporada</x:v>
      </x:c>
      <x:c r="L21" s="44" t="str">
        <x:v>Improve monthly hub links and concise answer block</x:v>
      </x:c>
      <x:c r="M21" s="44" t="str">
        <x:v>SE Ranking related keywords</x:v>
      </x:c>
      <x:c r="N21" s="44" t="str">
        <x:v>https://seranking.com/</x:v>
      </x:c>
    </x:row>
    <x:row r="22">
      <x:c r="A22" s="44" t="str">
        <x:v>Seasonality</x:v>
      </x:c>
      <x:c r="B22" s="44" t="str">
        <x:v>temporada de setas</x:v>
      </x:c>
      <x:c r="C22" s="49" t="n">
        <x:v>260</x:v>
      </x:c>
      <x:c r="D22" s="50" t="n">
        <x:v>8</x:v>
      </x:c>
      <x:c r="E22" s="47" t="n">
        <x:v>0</x:v>
      </x:c>
      <x:c r="F22" s="44" t="str">
        <x:v>I</x:v>
      </x:c>
      <x:c r="G22" s="44" t="str">
        <x:v>Partial</x:v>
      </x:c>
      <x:c r="H22" s="51" t="n">
        <x:f>IF(G22="Missing",1,IF(G22="Partial",0.7,0.4))</x:f>
        <x:v>0.7</x:v>
      </x:c>
      <x:c r="I22" s="51" t="n">
        <x:f>IF(C22="","",ROUND(LN(C22+1)*(101-D22)*H22,1))</x:f>
        <x:v>362.3</x:v>
      </x:c>
      <x:c r="J22" s="46" t="str">
        <x:v>P2</x:v>
      </x:c>
      <x:c r="K22" s="44" t="str">
        <x:v>/temporada</x:v>
      </x:c>
      <x:c r="L22" s="44" t="str">
        <x:v>Spanish discovery bridge</x:v>
      </x:c>
      <x:c r="M22" s="44" t="str">
        <x:v>SE Ranking related keywords</x:v>
      </x:c>
      <x:c r="N22" s="44" t="str">
        <x:v>https://seranking.com/</x:v>
      </x:c>
    </x:row>
    <x:row r="23">
      <x:c r="A23" s="44" t="str">
        <x:v>Seasonality</x:v>
      </x:c>
      <x:c r="B23" s="44" t="str">
        <x:v>setas de otoño</x:v>
      </x:c>
      <x:c r="C23" s="49" t="n">
        <x:v>170</x:v>
      </x:c>
      <x:c r="D23" s="50" t="n">
        <x:v>6</x:v>
      </x:c>
      <x:c r="E23" s="47" t="n">
        <x:v>0.11</x:v>
      </x:c>
      <x:c r="F23" s="44" t="str">
        <x:v>I</x:v>
      </x:c>
      <x:c r="G23" s="44" t="str">
        <x:v>Partial</x:v>
      </x:c>
      <x:c r="H23" s="51" t="n">
        <x:f>IF(G23="Missing",1,IF(G23="Partial",0.7,0.4))</x:f>
        <x:v>0.7</x:v>
      </x:c>
      <x:c r="I23" s="51" t="n">
        <x:f>IF(C23="","",ROUND(LN(C23+1)*(101-D23)*H23,1))</x:f>
        <x:v>341.9</x:v>
      </x:c>
      <x:c r="J23" s="46" t="str">
        <x:v>P2</x:v>
      </x:c>
      <x:c r="K23" s="44" t="str">
        <x:v>/bolets-de-tardor</x:v>
      </x:c>
      <x:c r="L23" s="44" t="str">
        <x:v>Spanish synonym coverage</x:v>
      </x:c>
      <x:c r="M23" s="44" t="str">
        <x:v>SE Ranking related keywords</x:v>
      </x:c>
      <x:c r="N23" s="44" t="str">
        <x:v>https://seranking.com/</x:v>
      </x:c>
    </x:row>
    <x:row r="24">
      <x:c r="A24" s="44" t="str">
        <x:v>Seasonality</x:v>
      </x:c>
      <x:c r="B24" s="44" t="str">
        <x:v>setas de temporada</x:v>
      </x:c>
      <x:c r="C24" s="49" t="n">
        <x:v>170</x:v>
      </x:c>
      <x:c r="D24" s="50" t="n">
        <x:v>7</x:v>
      </x:c>
      <x:c r="E24" s="47" t="n">
        <x:v>0.1</x:v>
      </x:c>
      <x:c r="F24" s="44" t="str">
        <x:v>I</x:v>
      </x:c>
      <x:c r="G24" s="44" t="str">
        <x:v>Partial</x:v>
      </x:c>
      <x:c r="H24" s="51" t="n">
        <x:f>IF(G24="Missing",1,IF(G24="Partial",0.7,0.4))</x:f>
        <x:v>0.7</x:v>
      </x:c>
      <x:c r="I24" s="51" t="n">
        <x:f>IF(C24="","",ROUND(LN(C24+1)*(101-D24)*H24,1))</x:f>
        <x:v>338.3</x:v>
      </x:c>
      <x:c r="J24" s="46" t="str">
        <x:v>P2</x:v>
      </x:c>
      <x:c r="K24" s="44" t="str">
        <x:v>/temporada</x:v>
      </x:c>
      <x:c r="L24" s="44" t="str">
        <x:v>General seasonal intent</x:v>
      </x:c>
      <x:c r="M24" s="44" t="str">
        <x:v>SE Ranking related keywords</x:v>
      </x:c>
      <x:c r="N24" s="44" t="str">
        <x:v>https://seranking.com/</x:v>
      </x:c>
    </x:row>
    <x:row r="25">
      <x:c r="A25" s="44" t="str">
        <x:v>Seasonality</x:v>
      </x:c>
      <x:c r="B25" s="44" t="str">
        <x:v>niscalos temporada</x:v>
      </x:c>
      <x:c r="C25" s="49" t="n">
        <x:v>140</x:v>
      </x:c>
      <x:c r="D25" s="50" t="n">
        <x:v>6</x:v>
      </x:c>
      <x:c r="E25" s="47" t="n">
        <x:v>0</x:v>
      </x:c>
      <x:c r="F25" s="44" t="str">
        <x:v>I</x:v>
      </x:c>
      <x:c r="G25" s="44" t="str">
        <x:v>Partial</x:v>
      </x:c>
      <x:c r="H25" s="51" t="n">
        <x:f>IF(G25="Missing",1,IF(G25="Partial",0.7,0.4))</x:f>
        <x:v>0.7</x:v>
      </x:c>
      <x:c r="I25" s="51" t="n">
        <x:f>IF(C25="","",ROUND(LN(C25+1)*(101-D25)*H25,1))</x:f>
        <x:v>329.1</x:v>
      </x:c>
      <x:c r="J25" s="46" t="str">
        <x:v>P2</x:v>
      </x:c>
      <x:c r="K25" s="44" t="str">
        <x:v>/zones/rovellons</x:v>
      </x:c>
      <x:c r="L25" s="44" t="str">
        <x:v>Species season FAQ</x:v>
      </x:c>
      <x:c r="M25" s="44" t="str">
        <x:v>SE Ranking related keywords</x:v>
      </x:c>
      <x:c r="N25" s="44" t="str">
        <x:v>https://seranking.com/</x:v>
      </x:c>
    </x:row>
    <x:row r="26">
      <x:c r="A26" s="44" t="str">
        <x:v>Safety &amp; confusion</x:v>
      </x:c>
      <x:c r="B26" s="44" t="str">
        <x:v>bolets verinosos</x:v>
      </x:c>
      <x:c r="C26" s="49" t="n">
        <x:v>140</x:v>
      </x:c>
      <x:c r="D26" s="50" t="n">
        <x:v>8</x:v>
      </x:c>
      <x:c r="E26" s="47" t="n">
        <x:v>0</x:v>
      </x:c>
      <x:c r="F26" s="44" t="str">
        <x:v>I</x:v>
      </x:c>
      <x:c r="G26" s="44" t="str">
        <x:v>Existing</x:v>
      </x:c>
      <x:c r="H26" s="51" t="n">
        <x:f>IF(G26="Missing",1,IF(G26="Partial",0.7,0.4))</x:f>
        <x:v>0.4</x:v>
      </x:c>
      <x:c r="I26" s="51" t="n">
        <x:f>IF(C26="","",ROUND(LN(C26+1)*(101-D26)*H26,1))</x:f>
        <x:v>184.1</x:v>
      </x:c>
      <x:c r="J26" s="45" t="str">
        <x:v>P1</x:v>
      </x:c>
      <x:c r="K26" s="44" t="str">
        <x:v>/bolets-verinosos</x:v>
      </x:c>
      <x:c r="L26" s="44" t="str">
        <x:v>Near-win term; reinforce source-backed safety structure</x:v>
      </x:c>
      <x:c r="M26" s="44" t="str">
        <x:v>SE Ranking related keywords</x:v>
      </x:c>
      <x:c r="N26" s="44" t="str">
        <x:v>https://seranking.com/</x:v>
      </x:c>
    </x:row>
    <x:row r="27">
      <x:c r="A27" s="44" t="str">
        <x:v>Safety &amp; confusion</x:v>
      </x:c>
      <x:c r="B27" s="44" t="str">
        <x:v>niscalos venenosos</x:v>
      </x:c>
      <x:c r="C27" s="49" t="n">
        <x:v>590</x:v>
      </x:c>
      <x:c r="D27" s="50" t="n">
        <x:v>8</x:v>
      </x:c>
      <x:c r="E27" s="47" t="n">
        <x:v>0</x:v>
      </x:c>
      <x:c r="F27" s="44" t="str">
        <x:v>I</x:v>
      </x:c>
      <x:c r="G27" s="44" t="str">
        <x:v>Partial</x:v>
      </x:c>
      <x:c r="H27" s="51" t="n">
        <x:f>IF(G27="Missing",1,IF(G27="Partial",0.7,0.4))</x:f>
        <x:v>0.7</x:v>
      </x:c>
      <x:c r="I27" s="51" t="n">
        <x:f>IF(C27="","",ROUND(LN(C27+1)*(101-D27)*H27,1))</x:f>
        <x:v>415.5</x:v>
      </x:c>
      <x:c r="J27" s="45" t="str">
        <x:v>P1</x:v>
      </x:c>
      <x:c r="K27" s="44" t="str">
        <x:v>/compare/rovello-vs-falsos</x:v>
      </x:c>
      <x:c r="L27" s="44" t="str">
        <x:v>High-volume low-difficulty confusion intent</x:v>
      </x:c>
      <x:c r="M27" s="44" t="str">
        <x:v>SE Ranking related keywords</x:v>
      </x:c>
      <x:c r="N27" s="44" t="str">
        <x:v>https://seranking.com/</x:v>
      </x:c>
    </x:row>
    <x:row r="28">
      <x:c r="A28" s="44" t="str">
        <x:v>Safety &amp; confusion</x:v>
      </x:c>
      <x:c r="B28" s="44" t="str">
        <x:v>fredolics toxics</x:v>
      </x:c>
      <x:c r="C28" s="49" t="n">
        <x:v>260</x:v>
      </x:c>
      <x:c r="D28" s="50" t="n">
        <x:v>8</x:v>
      </x:c>
      <x:c r="E28" s="47" t="n">
        <x:v>0</x:v>
      </x:c>
      <x:c r="F28" s="44" t="str">
        <x:v>I</x:v>
      </x:c>
      <x:c r="G28" s="44" t="str">
        <x:v>Partial</x:v>
      </x:c>
      <x:c r="H28" s="51" t="n">
        <x:f>IF(G28="Missing",1,IF(G28="Partial",0.7,0.4))</x:f>
        <x:v>0.7</x:v>
      </x:c>
      <x:c r="I28" s="51" t="n">
        <x:f>IF(C28="","",ROUND(LN(C28+1)*(101-D28)*H28,1))</x:f>
        <x:v>362.3</x:v>
      </x:c>
      <x:c r="J28" s="45" t="str">
        <x:v>P1</x:v>
      </x:c>
      <x:c r="K28" s="44" t="str">
        <x:v>/compare/fredolic-vs-fredolic-bord</x:v>
      </x:c>
      <x:c r="L28" s="44" t="str">
        <x:v>Dedicated comparison/FAQ</x:v>
      </x:c>
      <x:c r="M28" s="44" t="str">
        <x:v>SE Ranking related keywords</x:v>
      </x:c>
      <x:c r="N28" s="44" t="str">
        <x:v>https://seranking.com/</x:v>
      </x:c>
    </x:row>
    <x:row r="29">
      <x:c r="A29" s="44" t="str">
        <x:v>Safety &amp; confusion</x:v>
      </x:c>
      <x:c r="B29" s="44" t="str">
        <x:v>fredolic toxic</x:v>
      </x:c>
      <x:c r="C29" s="49" t="n">
        <x:v>260</x:v>
      </x:c>
      <x:c r="D29" s="50" t="n">
        <x:v>9</x:v>
      </x:c>
      <x:c r="E29" s="47" t="n">
        <x:v>0</x:v>
      </x:c>
      <x:c r="F29" s="44" t="str">
        <x:v>I</x:v>
      </x:c>
      <x:c r="G29" s="44" t="str">
        <x:v>Partial</x:v>
      </x:c>
      <x:c r="H29" s="51" t="n">
        <x:f>IF(G29="Missing",1,IF(G29="Partial",0.7,0.4))</x:f>
        <x:v>0.7</x:v>
      </x:c>
      <x:c r="I29" s="51" t="n">
        <x:f>IF(C29="","",ROUND(LN(C29+1)*(101-D29)*H29,1))</x:f>
        <x:v>358.4</x:v>
      </x:c>
      <x:c r="J29" s="45" t="str">
        <x:v>P1</x:v>
      </x:c>
      <x:c r="K29" s="44" t="str">
        <x:v>/compare/fredolic-vs-fredolic-bord</x:v>
      </x:c>
      <x:c r="L29" s="44" t="str">
        <x:v>Same cluster; avoid separate thin page</x:v>
      </x:c>
      <x:c r="M29" s="44" t="str">
        <x:v>SE Ranking related keywords</x:v>
      </x:c>
      <x:c r="N29" s="44" t="str">
        <x:v>https://seranking.com/</x:v>
      </x:c>
    </x:row>
    <x:row r="30">
      <x:c r="A30" s="44" t="str">
        <x:v>Safety &amp; confusion</x:v>
      </x:c>
      <x:c r="B30" s="44" t="str">
        <x:v>apagallums bolet toxic</x:v>
      </x:c>
      <x:c r="C30" s="49" t="n">
        <x:v>210</x:v>
      </x:c>
      <x:c r="D30" s="50" t="n">
        <x:v>8</x:v>
      </x:c>
      <x:c r="E30" s="47" t="n">
        <x:v>0</x:v>
      </x:c>
      <x:c r="F30" s="44" t="str">
        <x:v>I</x:v>
      </x:c>
      <x:c r="G30" s="44" t="str">
        <x:v>Existing</x:v>
      </x:c>
      <x:c r="H30" s="51" t="n">
        <x:f>IF(G30="Missing",1,IF(G30="Partial",0.7,0.4))</x:f>
        <x:v>0.4</x:v>
      </x:c>
      <x:c r="I30" s="51" t="n">
        <x:f>IF(C30="","",ROUND(LN(C30+1)*(101-D30)*H30,1))</x:f>
        <x:v>199.1</x:v>
      </x:c>
      <x:c r="J30" s="45" t="str">
        <x:v>P1</x:v>
      </x:c>
      <x:c r="K30" s="44" t="str">
        <x:v>/bolets/macrolepiota-procera</x:v>
      </x:c>
      <x:c r="L30" s="44" t="str">
        <x:v>Expand dangerous-lookalike section</x:v>
      </x:c>
      <x:c r="M30" s="44" t="str">
        <x:v>SE Ranking related keywords</x:v>
      </x:c>
      <x:c r="N30" s="44" t="str">
        <x:v>https://seranking.com/</x:v>
      </x:c>
    </x:row>
    <x:row r="31">
      <x:c r="A31" s="44" t="str">
        <x:v>Safety &amp; confusion</x:v>
      </x:c>
      <x:c r="B31" s="44" t="str">
        <x:v>boletus no comestibles fotos</x:v>
      </x:c>
      <x:c r="C31" s="49" t="n">
        <x:v>320</x:v>
      </x:c>
      <x:c r="D31" s="50" t="n">
        <x:v>9</x:v>
      </x:c>
      <x:c r="E31" s="47" t="n">
        <x:v>0</x:v>
      </x:c>
      <x:c r="F31" s="44" t="str">
        <x:v>I</x:v>
      </x:c>
      <x:c r="G31" s="44" t="str">
        <x:v>Partial</x:v>
      </x:c>
      <x:c r="H31" s="51" t="n">
        <x:f>IF(G31="Missing",1,IF(G31="Partial",0.7,0.4))</x:f>
        <x:v>0.7</x:v>
      </x:c>
      <x:c r="I31" s="51" t="n">
        <x:f>IF(C31="","",ROUND(LN(C31+1)*(101-D31)*H31,1))</x:f>
        <x:v>371.7</x:v>
      </x:c>
      <x:c r="J31" s="45" t="str">
        <x:v>P1</x:v>
      </x:c>
      <x:c r="K31" s="44" t="str">
        <x:v>/bolets-verinosos</x:v>
      </x:c>
      <x:c r="L31" s="44" t="str">
        <x:v>Create photo-led non-edible boletus section</x:v>
      </x:c>
      <x:c r="M31" s="44" t="str">
        <x:v>SE Ranking related keywords</x:v>
      </x:c>
      <x:c r="N31" s="44" t="str">
        <x:v>https://seranking.com/</x:v>
      </x:c>
    </x:row>
    <x:row r="32">
      <x:c r="A32" s="44" t="str">
        <x:v>Safety &amp; confusion</x:v>
      </x:c>
      <x:c r="B32" s="44" t="str">
        <x:v>boletus venenosos</x:v>
      </x:c>
      <x:c r="C32" s="49" t="n">
        <x:v>590</x:v>
      </x:c>
      <x:c r="D32" s="50" t="n">
        <x:v>8</x:v>
      </x:c>
      <x:c r="E32" s="47" t="n">
        <x:v>0</x:v>
      </x:c>
      <x:c r="F32" s="44" t="str">
        <x:v>I</x:v>
      </x:c>
      <x:c r="G32" s="44" t="str">
        <x:v>Partial</x:v>
      </x:c>
      <x:c r="H32" s="51" t="n">
        <x:f>IF(G32="Missing",1,IF(G32="Partial",0.7,0.4))</x:f>
        <x:v>0.7</x:v>
      </x:c>
      <x:c r="I32" s="51" t="n">
        <x:f>IF(C32="","",ROUND(LN(C32+1)*(101-D32)*H32,1))</x:f>
        <x:v>415.5</x:v>
      </x:c>
      <x:c r="J32" s="46" t="str">
        <x:v>P2</x:v>
      </x:c>
      <x:c r="K32" s="44" t="str">
        <x:v>/bolets-verinosos</x:v>
      </x:c>
      <x:c r="L32" s="44" t="str">
        <x:v>Spanish synonym</x:v>
      </x:c>
      <x:c r="M32" s="44" t="str">
        <x:v>SE Ranking related keywords</x:v>
      </x:c>
      <x:c r="N32" s="44" t="str">
        <x:v>https://seranking.com/</x:v>
      </x:c>
    </x:row>
    <x:row r="33">
      <x:c r="A33" s="44" t="str">
        <x:v>Safety &amp; confusion</x:v>
      </x:c>
      <x:c r="B33" s="44" t="str">
        <x:v>boletus toxicos</x:v>
      </x:c>
      <x:c r="C33" s="49" t="n">
        <x:v>210</x:v>
      </x:c>
      <x:c r="D33" s="50" t="n">
        <x:v>8</x:v>
      </x:c>
      <x:c r="E33" s="47" t="n">
        <x:v>0</x:v>
      </x:c>
      <x:c r="F33" s="44" t="str">
        <x:v>I</x:v>
      </x:c>
      <x:c r="G33" s="44" t="str">
        <x:v>Partial</x:v>
      </x:c>
      <x:c r="H33" s="51" t="n">
        <x:f>IF(G33="Missing",1,IF(G33="Partial",0.7,0.4))</x:f>
        <x:v>0.7</x:v>
      </x:c>
      <x:c r="I33" s="51" t="n">
        <x:f>IF(C33="","",ROUND(LN(C33+1)*(101-D33)*H33,1))</x:f>
        <x:v>348.4</x:v>
      </x:c>
      <x:c r="J33" s="46" t="str">
        <x:v>P2</x:v>
      </x:c>
      <x:c r="K33" s="44" t="str">
        <x:v>/bolets-verinosos</x:v>
      </x:c>
      <x:c r="L33" s="44" t="str">
        <x:v>Spanish synonym</x:v>
      </x:c>
      <x:c r="M33" s="44" t="str">
        <x:v>SE Ranking related keywords</x:v>
      </x:c>
      <x:c r="N33" s="44" t="str">
        <x:v>https://seranking.com/</x:v>
      </x:c>
    </x:row>
    <x:row r="34">
      <x:c r="A34" s="44" t="str">
        <x:v>Safety &amp; confusion</x:v>
      </x:c>
      <x:c r="B34" s="44" t="str">
        <x:v>falso boletus</x:v>
      </x:c>
      <x:c r="C34" s="49" t="n">
        <x:v>260</x:v>
      </x:c>
      <x:c r="D34" s="50" t="n">
        <x:v>10</x:v>
      </x:c>
      <x:c r="E34" s="47" t="n">
        <x:v>0</x:v>
      </x:c>
      <x:c r="F34" s="44" t="str">
        <x:v>I</x:v>
      </x:c>
      <x:c r="G34" s="44" t="str">
        <x:v>Existing</x:v>
      </x:c>
      <x:c r="H34" s="51" t="n">
        <x:f>IF(G34="Missing",1,IF(G34="Partial",0.7,0.4))</x:f>
        <x:v>0.4</x:v>
      </x:c>
      <x:c r="I34" s="51" t="n">
        <x:f>IF(C34="","",ROUND(LN(C34+1)*(101-D34)*H34,1))</x:f>
        <x:v>202.5</x:v>
      </x:c>
      <x:c r="J34" s="46" t="str">
        <x:v>P2</x:v>
      </x:c>
      <x:c r="K34" s="44" t="str">
        <x:v>/compare/cep-vs-cep-estiu</x:v>
      </x:c>
      <x:c r="L34" s="44" t="str">
        <x:v>Strengthen false-cep comparison semantics</x:v>
      </x:c>
      <x:c r="M34" s="44" t="str">
        <x:v>SE Ranking related keywords</x:v>
      </x:c>
      <x:c r="N34" s="44" t="str">
        <x:v>https://seranking.com/</x:v>
      </x:c>
    </x:row>
    <x:row r="35">
      <x:c r="A35" s="44" t="str">
        <x:v>Safety &amp; confusion</x:v>
      </x:c>
      <x:c r="B35" s="44" t="str">
        <x:v>cama de perdiu confusions</x:v>
      </x:c>
      <x:c r="C35" s="49" t="n">
        <x:v>70</x:v>
      </x:c>
      <x:c r="D35" s="50" t="n">
        <x:v>6</x:v>
      </x:c>
      <x:c r="E35" s="47" t="n">
        <x:v>0</x:v>
      </x:c>
      <x:c r="F35" s="44" t="str">
        <x:v>I</x:v>
      </x:c>
      <x:c r="G35" s="44" t="str">
        <x:v>Existing</x:v>
      </x:c>
      <x:c r="H35" s="51" t="n">
        <x:f>IF(G35="Missing",1,IF(G35="Partial",0.7,0.4))</x:f>
        <x:v>0.4</x:v>
      </x:c>
      <x:c r="I35" s="51" t="n">
        <x:f>IF(C35="","",ROUND(LN(C35+1)*(101-D35)*H35,1))</x:f>
        <x:v>162</x:v>
      </x:c>
      <x:c r="J35" s="45" t="str">
        <x:v>P1</x:v>
      </x:c>
      <x:c r="K35" s="44" t="str">
        <x:v>/bolets/chroogomphus-rutilus</x:v>
      </x:c>
      <x:c r="L35" s="44" t="str">
        <x:v>Current near-win; improve comparison links</x:v>
      </x:c>
      <x:c r="M35" s="44" t="str">
        <x:v>SE Ranking related keywords</x:v>
      </x:c>
      <x:c r="N35" s="44" t="str">
        <x:v>https://seranking.com/</x:v>
      </x:c>
    </x:row>
    <x:row r="36">
      <x:c r="A36" s="44" t="str">
        <x:v>Safety &amp; confusion</x:v>
      </x:c>
      <x:c r="B36" s="44" t="str">
        <x:v>ou de reig dolent</x:v>
      </x:c>
      <x:c r="C36" s="49" t="n">
        <x:v>110</x:v>
      </x:c>
      <x:c r="D36" s="50" t="n">
        <x:v>5</x:v>
      </x:c>
      <x:c r="E36" s="47" t="n">
        <x:v>0</x:v>
      </x:c>
      <x:c r="F36" s="44" t="str">
        <x:v>I</x:v>
      </x:c>
      <x:c r="G36" s="44" t="str">
        <x:v>Existing</x:v>
      </x:c>
      <x:c r="H36" s="51" t="n">
        <x:f>IF(G36="Missing",1,IF(G36="Partial",0.7,0.4))</x:f>
        <x:v>0.4</x:v>
      </x:c>
      <x:c r="I36" s="51" t="n">
        <x:f>IF(C36="","",ROUND(LN(C36+1)*(101-D36)*H36,1))</x:f>
        <x:v>180.8</x:v>
      </x:c>
      <x:c r="J36" s="45" t="str">
        <x:v>P1</x:v>
      </x:c>
      <x:c r="K36" s="44" t="str">
        <x:v>/bolets/amanita-caesarea</x:v>
      </x:c>
      <x:c r="L36" s="44" t="str">
        <x:v>Add concise dangerous-lookalike answer</x:v>
      </x:c>
      <x:c r="M36" s="44" t="str">
        <x:v>SE Ranking related keywords</x:v>
      </x:c>
      <x:c r="N36" s="44" t="str">
        <x:v>https://seranking.com/</x:v>
      </x:c>
    </x:row>
    <x:row r="37">
      <x:c r="A37" s="44" t="str">
        <x:v>Bilingual names</x:v>
      </x:c>
      <x:c r="B37" s="44" t="str">
        <x:v>setas en catalan</x:v>
      </x:c>
      <x:c r="C37" s="49" t="n">
        <x:v>390</x:v>
      </x:c>
      <x:c r="D37" s="50" t="n">
        <x:v>9</x:v>
      </x:c>
      <x:c r="E37" s="47" t="n">
        <x:v>0</x:v>
      </x:c>
      <x:c r="F37" s="44" t="str">
        <x:v>I</x:v>
      </x:c>
      <x:c r="G37" s="44" t="str">
        <x:v>Missing</x:v>
      </x:c>
      <x:c r="H37" s="51" t="n">
        <x:f>IF(G37="Missing",1,IF(G37="Partial",0.7,0.4))</x:f>
        <x:v>1</x:v>
      </x:c>
      <x:c r="I37" s="51" t="n">
        <x:f>IF(C37="","",ROUND(LN(C37+1)*(101-D37)*H37,1))</x:f>
        <x:v>549.1</x:v>
      </x:c>
      <x:c r="J37" s="45" t="str">
        <x:v>P1</x:v>
      </x:c>
      <x:c r="K37" s="44" t="str">
        <x:v>/noms-de-bolets-catala-castella</x:v>
      </x:c>
      <x:c r="L37" s="44" t="str">
        <x:v>Large easy gap and useful glossary intent</x:v>
      </x:c>
      <x:c r="M37" s="44" t="str">
        <x:v>SE Ranking related keywords</x:v>
      </x:c>
      <x:c r="N37" s="44" t="str">
        <x:v>https://seranking.com/</x:v>
      </x:c>
    </x:row>
    <x:row r="38">
      <x:c r="A38" s="44" t="str">
        <x:v>Bilingual names</x:v>
      </x:c>
      <x:c r="B38" s="44" t="str">
        <x:v>bolets en castellano</x:v>
      </x:c>
      <x:c r="C38" s="49" t="n">
        <x:v>210</x:v>
      </x:c>
      <x:c r="D38" s="50" t="n">
        <x:v>20</x:v>
      </x:c>
      <x:c r="E38" s="47" t="n">
        <x:v>0</x:v>
      </x:c>
      <x:c r="F38" s="44" t="str">
        <x:v>I</x:v>
      </x:c>
      <x:c r="G38" s="44" t="str">
        <x:v>Missing</x:v>
      </x:c>
      <x:c r="H38" s="51" t="n">
        <x:f>IF(G38="Missing",1,IF(G38="Partial",0.7,0.4))</x:f>
        <x:v>1</x:v>
      </x:c>
      <x:c r="I38" s="51" t="n">
        <x:f>IF(C38="","",ROUND(LN(C38+1)*(101-D38)*H38,1))</x:f>
        <x:v>433.5</x:v>
      </x:c>
      <x:c r="J38" s="45" t="str">
        <x:v>P1</x:v>
      </x:c>
      <x:c r="K38" s="44" t="str">
        <x:v>/noms-de-bolets-catala-castella</x:v>
      </x:c>
      <x:c r="L38" s="44" t="str">
        <x:v>Bilingual glossary cluster</x:v>
      </x:c>
      <x:c r="M38" s="44" t="str">
        <x:v>SE Ranking related keywords</x:v>
      </x:c>
      <x:c r="N38" s="44" t="str">
        <x:v>https://seranking.com/</x:v>
      </x:c>
    </x:row>
    <x:row r="39">
      <x:c r="A39" s="44" t="str">
        <x:v>Bilingual names</x:v>
      </x:c>
      <x:c r="B39" s="44" t="str">
        <x:v>boletaire en castellano</x:v>
      </x:c>
      <x:c r="C39" s="49" t="n">
        <x:v>210</x:v>
      </x:c>
      <x:c r="D39" s="50" t="n">
        <x:v>9</x:v>
      </x:c>
      <x:c r="E39" s="47" t="n">
        <x:v>0</x:v>
      </x:c>
      <x:c r="F39" s="44" t="str">
        <x:v>I</x:v>
      </x:c>
      <x:c r="G39" s="44" t="str">
        <x:v>Missing</x:v>
      </x:c>
      <x:c r="H39" s="51" t="n">
        <x:f>IF(G39="Missing",1,IF(G39="Partial",0.7,0.4))</x:f>
        <x:v>1</x:v>
      </x:c>
      <x:c r="I39" s="51" t="n">
        <x:f>IF(C39="","",ROUND(LN(C39+1)*(101-D39)*H39,1))</x:f>
        <x:v>492.4</x:v>
      </x:c>
      <x:c r="J39" s="46" t="str">
        <x:v>P2</x:v>
      </x:c>
      <x:c r="K39" s="44" t="str">
        <x:v>/noms-de-bolets-catala-castella</x:v>
      </x:c>
      <x:c r="L39" s="44" t="str">
        <x:v>Terminology subtopic</x:v>
      </x:c>
      <x:c r="M39" s="44" t="str">
        <x:v>SE Ranking related keywords</x:v>
      </x:c>
      <x:c r="N39" s="44" t="str">
        <x:v>https://seranking.com/</x:v>
      </x:c>
    </x:row>
    <x:row r="40">
      <x:c r="A40" s="44" t="str">
        <x:v>Bilingual names</x:v>
      </x:c>
      <x:c r="B40" s="44" t="str">
        <x:v>rovellons en castellano</x:v>
      </x:c>
      <x:c r="C40" s="49" t="n">
        <x:v>590</x:v>
      </x:c>
      <x:c r="D40" s="50" t="n">
        <x:v>16</x:v>
      </x:c>
      <x:c r="E40" s="47" t="n">
        <x:v>0</x:v>
      </x:c>
      <x:c r="F40" s="44" t="str">
        <x:v>I</x:v>
      </x:c>
      <x:c r="G40" s="44" t="str">
        <x:v>Partial</x:v>
      </x:c>
      <x:c r="H40" s="51" t="n">
        <x:f>IF(G40="Missing",1,IF(G40="Partial",0.7,0.4))</x:f>
        <x:v>0.7</x:v>
      </x:c>
      <x:c r="I40" s="51" t="n">
        <x:f>IF(C40="","",ROUND(LN(C40+1)*(101-D40)*H40,1))</x:f>
        <x:v>379.7</x:v>
      </x:c>
      <x:c r="J40" s="45" t="str">
        <x:v>P1</x:v>
      </x:c>
      <x:c r="K40" s="44" t="str">
        <x:v>/bolets/lactarius-sanguifluus</x:v>
      </x:c>
      <x:c r="L40" s="44" t="str">
        <x:v>High-demand synonym intent</x:v>
      </x:c>
      <x:c r="M40" s="44" t="str">
        <x:v>SE Ranking related keywords</x:v>
      </x:c>
      <x:c r="N40" s="44" t="str">
        <x:v>https://seranking.com/</x:v>
      </x:c>
    </x:row>
    <x:row r="41">
      <x:c r="A41" s="44" t="str">
        <x:v>Bilingual names</x:v>
      </x:c>
      <x:c r="B41" s="44" t="str">
        <x:v>ou de reig en castellano</x:v>
      </x:c>
      <x:c r="C41" s="49" t="n">
        <x:v>110</x:v>
      </x:c>
      <x:c r="D41" s="50" t="n">
        <x:v>16</x:v>
      </x:c>
      <x:c r="E41" s="47" t="n">
        <x:v>0</x:v>
      </x:c>
      <x:c r="F41" s="44" t="str">
        <x:v>I</x:v>
      </x:c>
      <x:c r="G41" s="44" t="str">
        <x:v>Existing</x:v>
      </x:c>
      <x:c r="H41" s="51" t="n">
        <x:f>IF(G41="Missing",1,IF(G41="Partial",0.7,0.4))</x:f>
        <x:v>0.4</x:v>
      </x:c>
      <x:c r="I41" s="51" t="n">
        <x:f>IF(C41="","",ROUND(LN(C41+1)*(101-D41)*H41,1))</x:f>
        <x:v>160.1</x:v>
      </x:c>
      <x:c r="J41" s="46" t="str">
        <x:v>P2</x:v>
      </x:c>
      <x:c r="K41" s="44" t="str">
        <x:v>/bolets/amanita-caesarea</x:v>
      </x:c>
      <x:c r="L41" s="44" t="str">
        <x:v>Already earning impressions; optimize snippet</x:v>
      </x:c>
      <x:c r="M41" s="44" t="str">
        <x:v>SE Ranking competitor gap</x:v>
      </x:c>
      <x:c r="N41" s="44" t="str">
        <x:v>https://seranking.com/</x:v>
      </x:c>
    </x:row>
    <x:row r="42">
      <x:c r="A42" s="44" t="str">
        <x:v>Species pages</x:v>
      </x:c>
      <x:c r="B42" s="44" t="str">
        <x:v>boletus edulis</x:v>
      </x:c>
      <x:c r="C42" s="49" t="n">
        <x:v>3200</x:v>
      </x:c>
      <x:c r="D42" s="50" t="n">
        <x:v>50</x:v>
      </x:c>
      <x:c r="E42" s="47" t="n">
        <x:v>0.35</x:v>
      </x:c>
      <x:c r="F42" s="44" t="str">
        <x:v>I</x:v>
      </x:c>
      <x:c r="G42" s="44" t="str">
        <x:v>Existing</x:v>
      </x:c>
      <x:c r="H42" s="51" t="n">
        <x:f>IF(G42="Missing",1,IF(G42="Partial",0.7,0.4))</x:f>
        <x:v>0.4</x:v>
      </x:c>
      <x:c r="I42" s="51" t="n">
        <x:f>IF(C42="","",ROUND(LN(C42+1)*(101-D42)*H42,1))</x:f>
        <x:v>164.7</x:v>
      </x:c>
      <x:c r="J42" s="46" t="str">
        <x:v>P2</x:v>
      </x:c>
      <x:c r="K42" s="44" t="str">
        <x:v>/bolets/boletus-edulis</x:v>
      </x:c>
      <x:c r="L42" s="44" t="str">
        <x:v>High-volume hard term; authority-led play</x:v>
      </x:c>
      <x:c r="M42" s="44" t="str">
        <x:v>SE Ranking competitor gap</x:v>
      </x:c>
      <x:c r="N42" s="44" t="str">
        <x:v>https://seranking.com/</x:v>
      </x:c>
    </x:row>
    <x:row r="43">
      <x:c r="A43" s="44" t="str">
        <x:v>Species pages</x:v>
      </x:c>
      <x:c r="B43" s="44" t="str">
        <x:v>camagroc</x:v>
      </x:c>
      <x:c r="C43" s="49" t="n">
        <x:v>880</x:v>
      </x:c>
      <x:c r="D43" s="50" t="n">
        <x:v>8</x:v>
      </x:c>
      <x:c r="E43" s="47" t="n">
        <x:v>0.11</x:v>
      </x:c>
      <x:c r="F43" s="44" t="str">
        <x:v>I</x:v>
      </x:c>
      <x:c r="G43" s="44" t="str">
        <x:v>Existing</x:v>
      </x:c>
      <x:c r="H43" s="51" t="n">
        <x:f>IF(G43="Missing",1,IF(G43="Partial",0.7,0.4))</x:f>
        <x:v>0.4</x:v>
      </x:c>
      <x:c r="I43" s="51" t="n">
        <x:f>IF(C43="","",ROUND(LN(C43+1)*(101-D43)*H43,1))</x:f>
        <x:v>252.3</x:v>
      </x:c>
      <x:c r="J43" s="45" t="str">
        <x:v>P1</x:v>
      </x:c>
      <x:c r="K43" s="44" t="str">
        <x:v>/bolets/craterellus-lutescens</x:v>
      </x:c>
      <x:c r="L43" s="44" t="str">
        <x:v>Low difficulty and strong competitor rankings</x:v>
      </x:c>
      <x:c r="M43" s="44" t="str">
        <x:v>SE Ranking competitor gap</x:v>
      </x:c>
      <x:c r="N43" s="44" t="str">
        <x:v>https://seranking.com/</x:v>
      </x:c>
    </x:row>
    <x:row r="44">
      <x:c r="A44" s="44" t="str">
        <x:v>Species pages</x:v>
      </x:c>
      <x:c r="B44" s="44" t="str">
        <x:v>fredolic</x:v>
      </x:c>
      <x:c r="C44" s="49" t="n">
        <x:v>720</x:v>
      </x:c>
      <x:c r="D44" s="50" t="n">
        <x:v>16</x:v>
      </x:c>
      <x:c r="E44" s="47" t="n">
        <x:v>0.01</x:v>
      </x:c>
      <x:c r="F44" s="44" t="str">
        <x:v>I</x:v>
      </x:c>
      <x:c r="G44" s="44" t="str">
        <x:v>Existing</x:v>
      </x:c>
      <x:c r="H44" s="51" t="n">
        <x:f>IF(G44="Missing",1,IF(G44="Partial",0.7,0.4))</x:f>
        <x:v>0.4</x:v>
      </x:c>
      <x:c r="I44" s="51" t="n">
        <x:f>IF(C44="","",ROUND(LN(C44+1)*(101-D44)*H44,1))</x:f>
        <x:v>223.7</x:v>
      </x:c>
      <x:c r="J44" s="45" t="str">
        <x:v>P1</x:v>
      </x:c>
      <x:c r="K44" s="44" t="str">
        <x:v>/bolets/tricholoma-terreum</x:v>
      </x:c>
      <x:c r="L44" s="44" t="str">
        <x:v>Near-win species term</x:v>
      </x:c>
      <x:c r="M44" s="44" t="str">
        <x:v>SE Ranking competitor gap</x:v>
      </x:c>
      <x:c r="N44" s="44" t="str">
        <x:v>https://seranking.com/</x:v>
      </x:c>
    </x:row>
    <x:row r="45">
      <x:c r="A45" s="44" t="str">
        <x:v>Species pages</x:v>
      </x:c>
      <x:c r="B45" s="44" t="str">
        <x:v>rossinyol</x:v>
      </x:c>
      <x:c r="C45" s="49" t="n">
        <x:v>2400</x:v>
      </x:c>
      <x:c r="D45" s="50" t="n">
        <x:v>67</x:v>
      </x:c>
      <x:c r="E45" s="47" t="n">
        <x:v>0.01</x:v>
      </x:c>
      <x:c r="F45" s="44" t="str">
        <x:v>L,C</x:v>
      </x:c>
      <x:c r="G45" s="44" t="str">
        <x:v>Existing</x:v>
      </x:c>
      <x:c r="H45" s="51" t="n">
        <x:f>IF(G45="Missing",1,IF(G45="Partial",0.7,0.4))</x:f>
        <x:v>0.4</x:v>
      </x:c>
      <x:c r="I45" s="51" t="n">
        <x:f>IF(C45="","",ROUND(LN(C45+1)*(101-D45)*H45,1))</x:f>
        <x:v>105.9</x:v>
      </x:c>
      <x:c r="J45" s="46" t="str">
        <x:v>P2</x:v>
      </x:c>
      <x:c r="K45" s="44" t="str">
        <x:v>/bolets/cantharellus-cibarius</x:v>
      </x:c>
      <x:c r="L45" s="44" t="str">
        <x:v>High-volume but competitive</x:v>
      </x:c>
      <x:c r="M45" s="44" t="str">
        <x:v>SE Ranking competitor gap</x:v>
      </x:c>
      <x:c r="N45" s="44" t="str">
        <x:v>https://seranking.com/</x:v>
      </x:c>
    </x:row>
    <x:row r="46">
      <x:c r="A46" s="44" t="str">
        <x:v>Species pages</x:v>
      </x:c>
      <x:c r="B46" s="44" t="str">
        <x:v>rovellons</x:v>
      </x:c>
      <x:c r="C46" s="49" t="n">
        <x:v>1600</x:v>
      </x:c>
      <x:c r="D46" s="50" t="n">
        <x:v>78</x:v>
      </x:c>
      <x:c r="E46" s="47" t="n">
        <x:v>0.1</x:v>
      </x:c>
      <x:c r="F46" s="44" t="str">
        <x:v>I</x:v>
      </x:c>
      <x:c r="G46" s="44" t="str">
        <x:v>Existing</x:v>
      </x:c>
      <x:c r="H46" s="51" t="n">
        <x:f>IF(G46="Missing",1,IF(G46="Partial",0.7,0.4))</x:f>
        <x:v>0.4</x:v>
      </x:c>
      <x:c r="I46" s="51" t="n">
        <x:f>IF(C46="","",ROUND(LN(C46+1)*(101-D46)*H46,1))</x:f>
        <x:v>67.9</x:v>
      </x:c>
      <x:c r="J46" s="46" t="str">
        <x:v>P2</x:v>
      </x:c>
      <x:c r="K46" s="44" t="str">
        <x:v>/zones/rovellons</x:v>
      </x:c>
      <x:c r="L46" s="44" t="str">
        <x:v>High-volume but difficult</x:v>
      </x:c>
      <x:c r="M46" s="44" t="str">
        <x:v>SE Ranking competitor gap</x:v>
      </x:c>
      <x:c r="N46" s="44" t="str">
        <x:v>https://seranking.com/</x:v>
      </x:c>
    </x:row>
    <x:row r="47">
      <x:c r="A47" s="44" t="str">
        <x:v>Species pages</x:v>
      </x:c>
      <x:c r="B47" s="44" t="str">
        <x:v>rovello</x:v>
      </x:c>
      <x:c r="C47" s="49" t="n">
        <x:v>660</x:v>
      </x:c>
      <x:c r="D47" s="50" t="n">
        <x:v>22</x:v>
      </x:c>
      <x:c r="E47" s="47" t="n">
        <x:v>0.02</x:v>
      </x:c>
      <x:c r="F47" s="44" t="str">
        <x:v>I</x:v>
      </x:c>
      <x:c r="G47" s="44" t="str">
        <x:v>Existing</x:v>
      </x:c>
      <x:c r="H47" s="51" t="n">
        <x:f>IF(G47="Missing",1,IF(G47="Partial",0.7,0.4))</x:f>
        <x:v>0.4</x:v>
      </x:c>
      <x:c r="I47" s="51" t="n">
        <x:f>IF(C47="","",ROUND(LN(C47+1)*(101-D47)*H47,1))</x:f>
        <x:v>205.2</x:v>
      </x:c>
      <x:c r="J47" s="45" t="str">
        <x:v>P1</x:v>
      </x:c>
      <x:c r="K47" s="44" t="str">
        <x:v>/zones/rovellons</x:v>
      </x:c>
      <x:c r="L47" s="44" t="str">
        <x:v>Reachable synonym</x:v>
      </x:c>
      <x:c r="M47" s="44" t="str">
        <x:v>SE Ranking related keywords</x:v>
      </x:c>
      <x:c r="N47" s="44" t="str">
        <x:v>https://seranking.com/</x:v>
      </x:c>
    </x:row>
    <x:row r="48">
      <x:c r="A48" s="44" t="str">
        <x:v>Species pages</x:v>
      </x:c>
      <x:c r="B48" s="44" t="str">
        <x:v>peu de rata</x:v>
      </x:c>
      <x:c r="C48" s="49" t="n">
        <x:v>590</x:v>
      </x:c>
      <x:c r="D48" s="50" t="n">
        <x:v>8</x:v>
      </x:c>
      <x:c r="E48" s="47" t="n">
        <x:v>0</x:v>
      </x:c>
      <x:c r="F48" s="44" t="str">
        <x:v>I</x:v>
      </x:c>
      <x:c r="G48" s="44" t="str">
        <x:v>Existing</x:v>
      </x:c>
      <x:c r="H48" s="51" t="n">
        <x:f>IF(G48="Missing",1,IF(G48="Partial",0.7,0.4))</x:f>
        <x:v>0.4</x:v>
      </x:c>
      <x:c r="I48" s="51" t="n">
        <x:f>IF(C48="","",ROUND(LN(C48+1)*(101-D48)*H48,1))</x:f>
        <x:v>237.4</x:v>
      </x:c>
      <x:c r="J48" s="45" t="str">
        <x:v>P1</x:v>
      </x:c>
      <x:c r="K48" s="44" t="str">
        <x:v>/bolets/ramaria-botrytis</x:v>
      </x:c>
      <x:c r="L48" s="44" t="str">
        <x:v>Low-difficulty species opportunity</x:v>
      </x:c>
      <x:c r="M48" s="44" t="str">
        <x:v>SE Ranking competitor gap</x:v>
      </x:c>
      <x:c r="N48" s="44" t="str">
        <x:v>https://seranking.com/</x:v>
      </x:c>
    </x:row>
    <x:row r="49">
      <x:c r="A49" s="44" t="str">
        <x:v>Species pages</x:v>
      </x:c>
      <x:c r="B49" s="44" t="str">
        <x:v>murgoles</x:v>
      </x:c>
      <x:c r="C49" s="49" t="n">
        <x:v>590</x:v>
      </x:c>
      <x:c r="D49" s="50" t="n">
        <x:v>15</x:v>
      </x:c>
      <x:c r="E49" s="47" t="n">
        <x:v>0.42</x:v>
      </x:c>
      <x:c r="F49" s="44" t="str">
        <x:v>I</x:v>
      </x:c>
      <x:c r="G49" s="44" t="str">
        <x:v>Existing</x:v>
      </x:c>
      <x:c r="H49" s="51" t="n">
        <x:f>IF(G49="Missing",1,IF(G49="Partial",0.7,0.4))</x:f>
        <x:v>0.4</x:v>
      </x:c>
      <x:c r="I49" s="51" t="n">
        <x:f>IF(C49="","",ROUND(LN(C49+1)*(101-D49)*H49,1))</x:f>
        <x:v>219.5</x:v>
      </x:c>
      <x:c r="J49" s="45" t="str">
        <x:v>P1</x:v>
      </x:c>
      <x:c r="K49" s="44" t="str">
        <x:v>/bolets/morchella-esculenta</x:v>
      </x:c>
      <x:c r="L49" s="44" t="str">
        <x:v>Spring-season cluster</x:v>
      </x:c>
      <x:c r="M49" s="44" t="str">
        <x:v>SE Ranking competitor gap</x:v>
      </x:c>
      <x:c r="N49" s="44" t="str">
        <x:v>https://seranking.com/</x:v>
      </x:c>
    </x:row>
    <x:row r="50">
      <x:c r="A50" s="44" t="str">
        <x:v>Species pages</x:v>
      </x:c>
      <x:c r="B50" s="44" t="str">
        <x:v>moixernons</x:v>
      </x:c>
      <x:c r="C50" s="49" t="n">
        <x:v>660</x:v>
      </x:c>
      <x:c r="D50" s="50" t="n">
        <x:v>10</x:v>
      </x:c>
      <x:c r="E50" s="47" t="n">
        <x:v>0.25</x:v>
      </x:c>
      <x:c r="F50" s="44" t="str">
        <x:v>I</x:v>
      </x:c>
      <x:c r="G50" s="44" t="str">
        <x:v>Existing</x:v>
      </x:c>
      <x:c r="H50" s="51" t="n">
        <x:f>IF(G50="Missing",1,IF(G50="Partial",0.7,0.4))</x:f>
        <x:v>0.4</x:v>
      </x:c>
      <x:c r="I50" s="51" t="n">
        <x:f>IF(C50="","",ROUND(LN(C50+1)*(101-D50)*H50,1))</x:f>
        <x:v>236.4</x:v>
      </x:c>
      <x:c r="J50" s="45" t="str">
        <x:v>P1</x:v>
      </x:c>
      <x:c r="K50" s="44" t="str">
        <x:v>/bolets/calocybe-gambosa</x:v>
      </x:c>
      <x:c r="L50" s="44" t="str">
        <x:v>Synonym cluster</x:v>
      </x:c>
      <x:c r="M50" s="44" t="str">
        <x:v>SE Ranking competitor gap</x:v>
      </x:c>
      <x:c r="N50" s="44" t="str">
        <x:v>https://seranking.com/</x:v>
      </x:c>
    </x:row>
    <x:row r="51">
      <x:c r="A51" s="44" t="str">
        <x:v>Species pages</x:v>
      </x:c>
      <x:c r="B51" s="44" t="str">
        <x:v>llanega</x:v>
      </x:c>
      <x:c r="C51" s="49" t="n">
        <x:v>440</x:v>
      </x:c>
      <x:c r="D51" s="50" t="n">
        <x:v>10</x:v>
      </x:c>
      <x:c r="E51" s="47" t="n">
        <x:v>0</x:v>
      </x:c>
      <x:c r="F51" s="44" t="str">
        <x:v>I</x:v>
      </x:c>
      <x:c r="G51" s="44" t="str">
        <x:v>Existing</x:v>
      </x:c>
      <x:c r="H51" s="51" t="n">
        <x:f>IF(G51="Missing",1,IF(G51="Partial",0.7,0.4))</x:f>
        <x:v>0.4</x:v>
      </x:c>
      <x:c r="I51" s="51" t="n">
        <x:f>IF(C51="","",ROUND(LN(C51+1)*(101-D51)*H51,1))</x:f>
        <x:v>221.6</x:v>
      </x:c>
      <x:c r="J51" s="45" t="str">
        <x:v>P1</x:v>
      </x:c>
      <x:c r="K51" s="44" t="str">
        <x:v>/bolets/hygrophorus-latitabundus</x:v>
      </x:c>
      <x:c r="L51" s="44" t="str">
        <x:v>Variant spelling coverage</x:v>
      </x:c>
      <x:c r="M51" s="44" t="str">
        <x:v>SE Ranking competitor gap</x:v>
      </x:c>
      <x:c r="N51" s="44" t="str">
        <x:v>https://seranking.com/</x:v>
      </x:c>
    </x:row>
    <x:row r="52">
      <x:c r="A52" s="44" t="str">
        <x:v>Mycology basics</x:v>
      </x:c>
      <x:c r="B52" s="44" t="str">
        <x:v>micelio</x:v>
      </x:c>
      <x:c r="C52" s="49" t="n">
        <x:v>4400</x:v>
      </x:c>
      <x:c r="D52" s="50" t="n">
        <x:v>55</x:v>
      </x:c>
      <x:c r="E52" s="47" t="n">
        <x:v>0.02</x:v>
      </x:c>
      <x:c r="F52" s="44" t="str">
        <x:v>I</x:v>
      </x:c>
      <x:c r="G52" s="44" t="str">
        <x:v>Missing</x:v>
      </x:c>
      <x:c r="H52" s="51" t="n">
        <x:f>IF(G52="Missing",1,IF(G52="Partial",0.7,0.4))</x:f>
        <x:v>1</x:v>
      </x:c>
      <x:c r="I52" s="51" t="n">
        <x:f>IF(C52="","",ROUND(LN(C52+1)*(101-D52)*H52,1))</x:f>
        <x:v>385.9</x:v>
      </x:c>
      <x:c r="J52" s="48" t="str">
        <x:v>P3</x:v>
      </x:c>
      <x:c r="K52" s="44" t="str">
        <x:v>/miceli-espores-cicle-bolets</x:v>
      </x:c>
      <x:c r="L52" s="44" t="str">
        <x:v>Competitors cover deeply; Spanish demand is high but lower product fit</x:v>
      </x:c>
      <x:c r="M52" s="44" t="str">
        <x:v>SE Ranking competitor gap</x:v>
      </x:c>
      <x:c r="N52" s="44" t="str">
        <x:v>https://seranking.com/</x:v>
      </x:c>
    </x:row>
    <x:row r="53">
      <x:c r="A53" s="44" t="str">
        <x:v>Mycology basics</x:v>
      </x:c>
      <x:c r="B53" s="44" t="str">
        <x:v>esporas</x:v>
      </x:c>
      <x:c r="C53" s="49" t="n">
        <x:v>3200</x:v>
      </x:c>
      <x:c r="D53" s="50" t="n">
        <x:v>86</x:v>
      </x:c>
      <x:c r="E53" s="47" t="n">
        <x:v>0.01</x:v>
      </x:c>
      <x:c r="F53" s="44" t="str">
        <x:v>I</x:v>
      </x:c>
      <x:c r="G53" s="44" t="str">
        <x:v>Missing</x:v>
      </x:c>
      <x:c r="H53" s="51" t="n">
        <x:f>IF(G53="Missing",1,IF(G53="Partial",0.7,0.4))</x:f>
        <x:v>1</x:v>
      </x:c>
      <x:c r="I53" s="51" t="n">
        <x:f>IF(C53="","",ROUND(LN(C53+1)*(101-D53)*H53,1))</x:f>
        <x:v>121.1</x:v>
      </x:c>
      <x:c r="J53" s="48" t="str">
        <x:v>P3</x:v>
      </x:c>
      <x:c r="K53" s="44" t="str">
        <x:v>/miceli-espores-cicle-bolets</x:v>
      </x:c>
      <x:c r="L53" s="44" t="str">
        <x:v>Educational authority cluster</x:v>
      </x:c>
      <x:c r="M53" s="44" t="str">
        <x:v>SE Ranking competitor gap</x:v>
      </x:c>
      <x:c r="N53" s="44" t="str">
        <x:v>https://seranking.com/</x:v>
      </x:c>
    </x:row>
    <x:row r="54">
      <x:c r="A54" s="44" t="str">
        <x:v>Mycology basics</x:v>
      </x:c>
      <x:c r="B54" s="44" t="str">
        <x:v>que es un bolet</x:v>
      </x:c>
      <x:c r="C54" s="49" t="n">
        <x:v>40</x:v>
      </x:c>
      <x:c r="D54" s="50" t="n">
        <x:v>16</x:v>
      </x:c>
      <x:c r="E54" s="47" t="n">
        <x:v>0</x:v>
      </x:c>
      <x:c r="F54" s="44" t="str">
        <x:v>I</x:v>
      </x:c>
      <x:c r="G54" s="44" t="str">
        <x:v>Partial</x:v>
      </x:c>
      <x:c r="H54" s="51" t="n">
        <x:f>IF(G54="Missing",1,IF(G54="Partial",0.7,0.4))</x:f>
        <x:v>0.7</x:v>
      </x:c>
      <x:c r="I54" s="51" t="n">
        <x:f>IF(C54="","",ROUND(LN(C54+1)*(101-D54)*H54,1))</x:f>
        <x:v>221</x:v>
      </x:c>
      <x:c r="J54" s="46" t="str">
        <x:v>P2</x:v>
      </x:c>
      <x:c r="K54" s="44" t="str">
        <x:v>/parts-dun-bolet</x:v>
      </x:c>
      <x:c r="L54" s="44" t="str">
        <x:v>Expand from anatomy to lifecycle</x:v>
      </x:c>
      <x:c r="M54" s="44" t="str">
        <x:v>SE Ranking related keywords</x:v>
      </x:c>
      <x:c r="N54" s="44" t="str">
        <x:v>https://seranking.com/</x:v>
      </x:c>
    </x:row>
    <x:row r="55">
      <x:c r="A55" s="44" t="str">
        <x:v>Forest habitat</x:v>
      </x:c>
      <x:c r="B55" s="44" t="str">
        <x:v>bosque de pinos</x:v>
      </x:c>
      <x:c r="C55" s="49" t="n">
        <x:v>590</x:v>
      </x:c>
      <x:c r="D55" s="50" t="n">
        <x:v>9</x:v>
      </x:c>
      <x:c r="E55" s="47" t="n">
        <x:v>0</x:v>
      </x:c>
      <x:c r="F55" s="44" t="str">
        <x:v>L,C</x:v>
      </x:c>
      <x:c r="G55" s="44" t="str">
        <x:v>Missing</x:v>
      </x:c>
      <x:c r="H55" s="51" t="n">
        <x:f>IF(G55="Missing",1,IF(G55="Partial",0.7,0.4))</x:f>
        <x:v>1</x:v>
      </x:c>
      <x:c r="I55" s="51" t="n">
        <x:f>IF(C55="","",ROUND(LN(C55+1)*(101-D55)*H55,1))</x:f>
        <x:v>587.1</x:v>
      </x:c>
      <x:c r="J55" s="46" t="str">
        <x:v>P2</x:v>
      </x:c>
      <x:c r="K55" s="44" t="str">
        <x:v>/bolets-i-arbres</x:v>
      </x:c>
      <x:c r="L55" s="44" t="str">
        <x:v>Create tree-to-mushroom habitat guide</x:v>
      </x:c>
      <x:c r="M55" s="44" t="str">
        <x:v>SE Ranking competitor gap</x:v>
      </x:c>
      <x:c r="N55" s="44" t="str">
        <x:v>https://seranking.com/</x:v>
      </x:c>
    </x:row>
    <x:row r="56">
      <x:c r="A56" s="44" t="str">
        <x:v>Forest habitat</x:v>
      </x:c>
      <x:c r="B56" s="44" t="str">
        <x:v>boscos de catalunya</x:v>
      </x:c>
      <x:c r="C56" s="49" t="n">
        <x:v>50</x:v>
      </x:c>
      <x:c r="D56" s="50" t="n">
        <x:v>7</x:v>
      </x:c>
      <x:c r="E56" s="47" t="n">
        <x:v>0.01</x:v>
      </x:c>
      <x:c r="F56" s="44" t="str">
        <x:v>I</x:v>
      </x:c>
      <x:c r="G56" s="44" t="str">
        <x:v>Missing</x:v>
      </x:c>
      <x:c r="H56" s="51" t="n">
        <x:f>IF(G56="Missing",1,IF(G56="Partial",0.7,0.4))</x:f>
        <x:v>1</x:v>
      </x:c>
      <x:c r="I56" s="51" t="n">
        <x:f>IF(C56="","",ROUND(LN(C56+1)*(101-D56)*H56,1))</x:f>
        <x:v>369.6</x:v>
      </x:c>
      <x:c r="J56" s="46" t="str">
        <x:v>P2</x:v>
      </x:c>
      <x:c r="K56" s="44" t="str">
        <x:v>/bolets-i-arbres</x:v>
      </x:c>
      <x:c r="L56" s="44" t="str">
        <x:v>Catalan forest ecology cluster</x:v>
      </x:c>
      <x:c r="M56" s="44" t="str">
        <x:v>SE Ranking competitor gap</x:v>
      </x:c>
      <x:c r="N56" s="44" t="str">
        <x:v>https://seranking.com/</x:v>
      </x:c>
    </x:row>
    <x:row r="57">
      <x:c r="A57" s="44" t="str">
        <x:v>Forest habitat</x:v>
      </x:c>
      <x:c r="B57" s="44" t="str">
        <x:v>arbres de catalunya</x:v>
      </x:c>
      <x:c r="C57" s="49" t="n">
        <x:v>140</x:v>
      </x:c>
      <x:c r="D57" s="50" t="n">
        <x:v>8</x:v>
      </x:c>
      <x:c r="E57" s="47" t="n">
        <x:v>0.04</x:v>
      </x:c>
      <x:c r="F57" s="44" t="str">
        <x:v>I</x:v>
      </x:c>
      <x:c r="G57" s="44" t="str">
        <x:v>Missing</x:v>
      </x:c>
      <x:c r="H57" s="51" t="n">
        <x:f>IF(G57="Missing",1,IF(G57="Partial",0.7,0.4))</x:f>
        <x:v>1</x:v>
      </x:c>
      <x:c r="I57" s="51" t="n">
        <x:f>IF(C57="","",ROUND(LN(C57+1)*(101-D57)*H57,1))</x:f>
        <x:v>460.2</x:v>
      </x:c>
      <x:c r="J57" s="48" t="str">
        <x:v>P3</x:v>
      </x:c>
      <x:c r="K57" s="44" t="str">
        <x:v>/bolets-i-arbres</x:v>
      </x:c>
      <x:c r="L57" s="44" t="str">
        <x:v>Only pursue through mushroom-tree relationship</x:v>
      </x:c>
      <x:c r="M57" s="44" t="str">
        <x:v>SE Ranking competitor gap</x:v>
      </x:c>
      <x:c r="N57" s="44" t="str">
        <x:v>https://seranking.com/</x:v>
      </x:c>
    </x:row>
    <x:row r="58">
      <x:c r="A58" s="44" t="str">
        <x:v>Hunting skills &amp; gear</x:v>
      </x:c>
      <x:c r="B58" s="44" t="str">
        <x:v>buscar bolets</x:v>
      </x:c>
      <x:c r="C58" s="49" t="n">
        <x:v>40</x:v>
      </x:c>
      <x:c r="D58" s="50" t="n">
        <x:v>5</x:v>
      </x:c>
      <x:c r="E58" s="47" t="n">
        <x:v>0.02</x:v>
      </x:c>
      <x:c r="F58" s="44" t="str">
        <x:v>I</x:v>
      </x:c>
      <x:c r="G58" s="44" t="str">
        <x:v>Missing</x:v>
      </x:c>
      <x:c r="H58" s="51" t="n">
        <x:f>IF(G58="Missing",1,IF(G58="Partial",0.7,0.4))</x:f>
        <x:v>1</x:v>
      </x:c>
      <x:c r="I58" s="51" t="n">
        <x:f>IF(C58="","",ROUND(LN(C58+1)*(101-D58)*H58,1))</x:f>
        <x:v>356.5</x:v>
      </x:c>
      <x:c r="J58" s="45" t="str">
        <x:v>P1</x:v>
      </x:c>
      <x:c r="K58" s="44" t="str">
        <x:v>/guia-anar-a-buscar-bolets</x:v>
      </x:c>
      <x:c r="L58" s="44" t="str">
        <x:v>Practical beginner guide</x:v>
      </x:c>
      <x:c r="M58" s="44" t="str">
        <x:v>SE Ranking related keywords</x:v>
      </x:c>
      <x:c r="N58" s="44" t="str">
        <x:v>https://seranking.com/</x:v>
      </x:c>
    </x:row>
    <x:row r="59">
      <x:c r="A59" s="44" t="str">
        <x:v>Hunting skills &amp; gear</x:v>
      </x:c>
      <x:c r="B59" s="44" t="str">
        <x:v>caçar bolets</x:v>
      </x:c>
      <x:c r="C59" s="49" t="n">
        <x:v>50</x:v>
      </x:c>
      <x:c r="D59" s="50" t="n">
        <x:v>7</x:v>
      </x:c>
      <x:c r="E59" s="47" t="n">
        <x:v>0.02</x:v>
      </x:c>
      <x:c r="F59" s="44" t="str">
        <x:v>I</x:v>
      </x:c>
      <x:c r="G59" s="44" t="str">
        <x:v>Missing</x:v>
      </x:c>
      <x:c r="H59" s="51" t="n">
        <x:f>IF(G59="Missing",1,IF(G59="Partial",0.7,0.4))</x:f>
        <x:v>1</x:v>
      </x:c>
      <x:c r="I59" s="51" t="n">
        <x:f>IF(C59="","",ROUND(LN(C59+1)*(101-D59)*H59,1))</x:f>
        <x:v>369.6</x:v>
      </x:c>
      <x:c r="J59" s="45" t="str">
        <x:v>P1</x:v>
      </x:c>
      <x:c r="K59" s="44" t="str">
        <x:v>/guia-anar-a-buscar-bolets</x:v>
      </x:c>
      <x:c r="L59" s="44" t="str">
        <x:v>Catalan colloquial intent</x:v>
      </x:c>
      <x:c r="M59" s="44" t="str">
        <x:v>SE Ranking related keywords</x:v>
      </x:c>
      <x:c r="N59" s="44" t="str">
        <x:v>https://seranking.com/</x:v>
      </x:c>
    </x:row>
    <x:row r="60">
      <x:c r="A60" s="44" t="str">
        <x:v>Hunting skills &amp; gear</x:v>
      </x:c>
      <x:c r="B60" s="44" t="str">
        <x:v>recoger setas</x:v>
      </x:c>
      <x:c r="C60" s="49" t="n">
        <x:v>90</x:v>
      </x:c>
      <x:c r="D60" s="50" t="n">
        <x:v>13</x:v>
      </x:c>
      <x:c r="E60" s="47" t="n">
        <x:v>0</x:v>
      </x:c>
      <x:c r="F60" s="44" t="str">
        <x:v>I</x:v>
      </x:c>
      <x:c r="G60" s="44" t="str">
        <x:v>Missing</x:v>
      </x:c>
      <x:c r="H60" s="51" t="n">
        <x:f>IF(G60="Missing",1,IF(G60="Partial",0.7,0.4))</x:f>
        <x:v>1</x:v>
      </x:c>
      <x:c r="I60" s="51" t="n">
        <x:f>IF(C60="","",ROUND(LN(C60+1)*(101-D60)*H60,1))</x:f>
        <x:v>397</x:v>
      </x:c>
      <x:c r="J60" s="46" t="str">
        <x:v>P2</x:v>
      </x:c>
      <x:c r="K60" s="44" t="str">
        <x:v>/guia-anar-a-buscar-bolets</x:v>
      </x:c>
      <x:c r="L60" s="44" t="str">
        <x:v>Spanish bridge</x:v>
      </x:c>
      <x:c r="M60" s="44" t="str">
        <x:v>SE Ranking related keywords</x:v>
      </x:c>
      <x:c r="N60" s="44" t="str">
        <x:v>https://seranking.com/</x:v>
      </x:c>
    </x:row>
    <x:row r="61">
      <x:c r="A61" s="44" t="str">
        <x:v>Hunting skills &amp; gear</x:v>
      </x:c>
      <x:c r="B61" s="44" t="str">
        <x:v>cistella bolets</x:v>
      </x:c>
      <x:c r="C61" s="49" t="n">
        <x:v>140</x:v>
      </x:c>
      <x:c r="D61" s="50" t="n">
        <x:v>3</x:v>
      </x:c>
      <x:c r="E61" s="47" t="n">
        <x:v>0.98</x:v>
      </x:c>
      <x:c r="F61" s="44" t="str">
        <x:v>I</x:v>
      </x:c>
      <x:c r="G61" s="44" t="str">
        <x:v>Missing</x:v>
      </x:c>
      <x:c r="H61" s="51" t="n">
        <x:f>IF(G61="Missing",1,IF(G61="Partial",0.7,0.4))</x:f>
        <x:v>1</x:v>
      </x:c>
      <x:c r="I61" s="51" t="n">
        <x:f>IF(C61="","",ROUND(LN(C61+1)*(101-D61)*H61,1))</x:f>
        <x:v>485</x:v>
      </x:c>
      <x:c r="J61" s="45" t="str">
        <x:v>P1</x:v>
      </x:c>
      <x:c r="K61" s="44" t="str">
        <x:v>/guia-anar-a-buscar-bolets</x:v>
      </x:c>
      <x:c r="L61" s="44" t="str">
        <x:v>Commercially competitive but easy informational subtopic</x:v>
      </x:c>
      <x:c r="M61" s="44" t="str">
        <x:v>SE Ranking related keywords</x:v>
      </x:c>
      <x:c r="N61" s="44" t="str">
        <x:v>https://seranking.com/</x:v>
      </x:c>
    </x:row>
    <x:row r="62">
      <x:c r="A62" s="44" t="str">
        <x:v>Hunting skills &amp; gear</x:v>
      </x:c>
      <x:c r="B62" s="44" t="str">
        <x:v>cistell de bolets</x:v>
      </x:c>
      <x:c r="C62" s="49" t="n">
        <x:v>70</x:v>
      </x:c>
      <x:c r="D62" s="50" t="n">
        <x:v>2</x:v>
      </x:c>
      <x:c r="E62" s="47" t="n">
        <x:v>0.65</x:v>
      </x:c>
      <x:c r="F62" s="44" t="str">
        <x:v>I</x:v>
      </x:c>
      <x:c r="G62" s="44" t="str">
        <x:v>Missing</x:v>
      </x:c>
      <x:c r="H62" s="51" t="n">
        <x:f>IF(G62="Missing",1,IF(G62="Partial",0.7,0.4))</x:f>
        <x:v>1</x:v>
      </x:c>
      <x:c r="I62" s="51" t="n">
        <x:f>IF(C62="","",ROUND(LN(C62+1)*(101-D62)*H62,1))</x:f>
        <x:v>422</x:v>
      </x:c>
      <x:c r="J62" s="45" t="str">
        <x:v>P1</x:v>
      </x:c>
      <x:c r="K62" s="44" t="str">
        <x:v>/guia-anar-a-buscar-bolets</x:v>
      </x:c>
      <x:c r="L62" s="44" t="str">
        <x:v>Core gear subtopic</x:v>
      </x:c>
      <x:c r="M62" s="44" t="str">
        <x:v>SE Ranking related keywords</x:v>
      </x:c>
      <x:c r="N62" s="44" t="str">
        <x:v>https://seranking.com/</x:v>
      </x:c>
    </x:row>
    <x:row r="63">
      <x:c r="A63" s="44" t="str">
        <x:v>Hunting skills &amp; gear</x:v>
      </x:c>
      <x:c r="B63" s="44" t="str">
        <x:v>navaja setas</x:v>
      </x:c>
      <x:c r="C63" s="49" t="n">
        <x:v>480</x:v>
      </x:c>
      <x:c r="D63" s="50" t="n">
        <x:v>6</x:v>
      </x:c>
      <x:c r="E63" s="47" t="n">
        <x:v>0.98</x:v>
      </x:c>
      <x:c r="F63" s="44" t="str">
        <x:v>L,C</x:v>
      </x:c>
      <x:c r="G63" s="44" t="str">
        <x:v>Missing</x:v>
      </x:c>
      <x:c r="H63" s="51" t="n">
        <x:f>IF(G63="Missing",1,IF(G63="Partial",0.7,0.4))</x:f>
        <x:v>1</x:v>
      </x:c>
      <x:c r="I63" s="51" t="n">
        <x:f>IF(C63="","",ROUND(LN(C63+1)*(101-D63)*H63,1))</x:f>
        <x:v>586.7</x:v>
      </x:c>
      <x:c r="J63" s="48" t="str">
        <x:v>P3</x:v>
      </x:c>
      <x:c r="K63" s="44" t="str">
        <x:v>/guia-anar-a-buscar-bolets</x:v>
      </x:c>
      <x:c r="L63" s="44" t="str">
        <x:v>Spanish commercial gear term; lower editorial fit</x:v>
      </x:c>
      <x:c r="M63" s="44" t="str">
        <x:v>SE Ranking competitor gap</x:v>
      </x:c>
      <x:c r="N63" s="44" t="str">
        <x:v>https://seranking.com/</x:v>
      </x:c>
    </x:row>
    <x:row r="64">
      <x:c r="A64" s="44" t="str">
        <x:v>Recipes</x:v>
      </x:c>
      <x:c r="B64" s="44" t="str">
        <x:v>receptes amb bolets</x:v>
      </x:c>
      <x:c r="C64" s="49" t="n">
        <x:v>70</x:v>
      </x:c>
      <x:c r="D64" s="50" t="n">
        <x:v>7</x:v>
      </x:c>
      <x:c r="E64" s="47" t="n">
        <x:v>0</x:v>
      </x:c>
      <x:c r="F64" s="44" t="str">
        <x:v>I</x:v>
      </x:c>
      <x:c r="G64" s="44" t="str">
        <x:v>Missing</x:v>
      </x:c>
      <x:c r="H64" s="51" t="n">
        <x:f>IF(G64="Missing",1,IF(G64="Partial",0.7,0.4))</x:f>
        <x:v>1</x:v>
      </x:c>
      <x:c r="I64" s="51" t="n">
        <x:f>IF(C64="","",ROUND(LN(C64+1)*(101-D64)*H64,1))</x:f>
        <x:v>400.7</x:v>
      </x:c>
      <x:c r="J64" s="45" t="str">
        <x:v>P1</x:v>
      </x:c>
      <x:c r="K64" s="44" t="str">
        <x:v>/receptes-amb-bolets</x:v>
      </x:c>
      <x:c r="L64" s="44" t="str">
        <x:v>Competitors have dozens of dedicated recipes</x:v>
      </x:c>
      <x:c r="M64" s="44" t="str">
        <x:v>SE Ranking competitor gap</x:v>
      </x:c>
      <x:c r="N64" s="44" t="str">
        <x:v>https://seranking.com/</x:v>
      </x:c>
    </x:row>
    <x:row r="65">
      <x:c r="A65" s="44" t="str">
        <x:v>Recipes</x:v>
      </x:c>
      <x:c r="B65" s="44" t="str">
        <x:v>receptes amb rovellons</x:v>
      </x:c>
      <x:c r="C65" s="49" t="n">
        <x:v>70</x:v>
      </x:c>
      <x:c r="D65" s="50" t="n">
        <x:v>8</x:v>
      </x:c>
      <x:c r="E65" s="47" t="n">
        <x:v>0</x:v>
      </x:c>
      <x:c r="F65" s="44" t="str">
        <x:v>I</x:v>
      </x:c>
      <x:c r="G65" s="44" t="str">
        <x:v>Missing</x:v>
      </x:c>
      <x:c r="H65" s="51" t="n">
        <x:f>IF(G65="Missing",1,IF(G65="Partial",0.7,0.4))</x:f>
        <x:v>1</x:v>
      </x:c>
      <x:c r="I65" s="51" t="n">
        <x:f>IF(C65="","",ROUND(LN(C65+1)*(101-D65)*H65,1))</x:f>
        <x:v>396.4</x:v>
      </x:c>
      <x:c r="J65" s="45" t="str">
        <x:v>P1</x:v>
      </x:c>
      <x:c r="K65" s="44" t="str">
        <x:v>/receptes-amb-bolets/rovellons</x:v>
      </x:c>
      <x:c r="L65" s="44" t="str">
        <x:v>Species recipe cluster</x:v>
      </x:c>
      <x:c r="M65" s="44" t="str">
        <x:v>SE Ranking related keywords</x:v>
      </x:c>
      <x:c r="N65" s="44" t="str">
        <x:v>https://seranking.com/</x:v>
      </x:c>
    </x:row>
    <x:row r="66">
      <x:c r="A66" s="44" t="str">
        <x:v>Recipes</x:v>
      </x:c>
      <x:c r="B66" s="44" t="str">
        <x:v>receptes amb camagrocs</x:v>
      </x:c>
      <x:c r="C66" s="49" t="n">
        <x:v>210</x:v>
      </x:c>
      <x:c r="D66" s="50" t="n">
        <x:v>8</x:v>
      </x:c>
      <x:c r="E66" s="47" t="n">
        <x:v>0</x:v>
      </x:c>
      <x:c r="F66" s="44" t="str">
        <x:v>I</x:v>
      </x:c>
      <x:c r="G66" s="44" t="str">
        <x:v>Missing</x:v>
      </x:c>
      <x:c r="H66" s="51" t="n">
        <x:f>IF(G66="Missing",1,IF(G66="Partial",0.7,0.4))</x:f>
        <x:v>1</x:v>
      </x:c>
      <x:c r="I66" s="51" t="n">
        <x:f>IF(C66="","",ROUND(LN(C66+1)*(101-D66)*H66,1))</x:f>
        <x:v>497.7</x:v>
      </x:c>
      <x:c r="J66" s="45" t="str">
        <x:v>P1</x:v>
      </x:c>
      <x:c r="K66" s="44" t="str">
        <x:v>/receptes-amb-bolets/camagrocs</x:v>
      </x:c>
      <x:c r="L66" s="44" t="str">
        <x:v>Reachable long-tail cluster</x:v>
      </x:c>
      <x:c r="M66" s="44" t="str">
        <x:v>SE Ranking competitor gap</x:v>
      </x:c>
      <x:c r="N66" s="44" t="str">
        <x:v>https://seranking.com/</x:v>
      </x:c>
    </x:row>
    <x:row r="67">
      <x:c r="A67" s="44" t="str">
        <x:v>Recipes</x:v>
      </x:c>
      <x:c r="B67" s="44" t="str">
        <x:v>risotto de setas</x:v>
      </x:c>
      <x:c r="C67" s="49" t="n">
        <x:v>18100</x:v>
      </x:c>
      <x:c r="D67" s="50" t="n">
        <x:v>78</x:v>
      </x:c>
      <x:c r="E67" s="47" t="n">
        <x:v>0.06</x:v>
      </x:c>
      <x:c r="F67" s="44" t="str">
        <x:v>I</x:v>
      </x:c>
      <x:c r="G67" s="44" t="str">
        <x:v>Missing</x:v>
      </x:c>
      <x:c r="H67" s="51" t="n">
        <x:f>IF(G67="Missing",1,IF(G67="Partial",0.7,0.4))</x:f>
        <x:v>1</x:v>
      </x:c>
      <x:c r="I67" s="51" t="n">
        <x:f>IF(C67="","",ROUND(LN(C67+1)*(101-D67)*H67,1))</x:f>
        <x:v>225.5</x:v>
      </x:c>
      <x:c r="J67" s="48" t="str">
        <x:v>P3</x:v>
      </x:c>
      <x:c r="K67" s="44" t="str">
        <x:v>/receptes-amb-bolets/risotto</x:v>
      </x:c>
      <x:c r="L67" s="44" t="str">
        <x:v>Large Spanish demand but broad competition</x:v>
      </x:c>
      <x:c r="M67" s="44" t="str">
        <x:v>SE Ranking competitor gap</x:v>
      </x:c>
      <x:c r="N67" s="44" t="str">
        <x:v>https://seranking.com/</x:v>
      </x:c>
    </x:row>
    <x:row r="68">
      <x:c r="A68" s="44" t="str">
        <x:v>Recipes</x:v>
      </x:c>
      <x:c r="B68" s="44" t="str">
        <x:v>fricando con setas</x:v>
      </x:c>
      <x:c r="C68" s="49" t="n">
        <x:v>590</x:v>
      </x:c>
      <x:c r="D68" s="50" t="n">
        <x:v>7</x:v>
      </x:c>
      <x:c r="E68" s="47" t="n">
        <x:v>0</x:v>
      </x:c>
      <x:c r="F68" s="44" t="str">
        <x:v>I</x:v>
      </x:c>
      <x:c r="G68" s="44" t="str">
        <x:v>Missing</x:v>
      </x:c>
      <x:c r="H68" s="51" t="n">
        <x:f>IF(G68="Missing",1,IF(G68="Partial",0.7,0.4))</x:f>
        <x:v>1</x:v>
      </x:c>
      <x:c r="I68" s="51" t="n">
        <x:f>IF(C68="","",ROUND(LN(C68+1)*(101-D68)*H68,1))</x:f>
        <x:v>599.9</x:v>
      </x:c>
      <x:c r="J68" s="46" t="str">
        <x:v>P2</x:v>
      </x:c>
      <x:c r="K68" s="44" t="str">
        <x:v>/receptes-amb-bolets/fricando</x:v>
      </x:c>
      <x:c r="L68" s="44" t="str">
        <x:v>Bilingual recipe opportunity</x:v>
      </x:c>
      <x:c r="M68" s="44" t="str">
        <x:v>SE Ranking competitor gap</x:v>
      </x:c>
      <x:c r="N68" s="44" t="str">
        <x:v>https://seranking.com/</x:v>
      </x:c>
    </x:row>
    <x:row r="69">
      <x:c r="A69" s="44" t="str">
        <x:v>Recipes</x:v>
      </x:c>
      <x:c r="B69" s="44" t="str">
        <x:v>estofat de vedella amb bolets</x:v>
      </x:c>
      <x:c r="C69" s="49" t="n">
        <x:v>320</x:v>
      </x:c>
      <x:c r="D69" s="50" t="n">
        <x:v>5</x:v>
      </x:c>
      <x:c r="E69" s="47" t="n">
        <x:v>0</x:v>
      </x:c>
      <x:c r="F69" s="44" t="str">
        <x:v>I</x:v>
      </x:c>
      <x:c r="G69" s="44" t="str">
        <x:v>Missing</x:v>
      </x:c>
      <x:c r="H69" s="51" t="n">
        <x:f>IF(G69="Missing",1,IF(G69="Partial",0.7,0.4))</x:f>
        <x:v>1</x:v>
      </x:c>
      <x:c r="I69" s="51" t="n">
        <x:f>IF(C69="","",ROUND(LN(C69+1)*(101-D69)*H69,1))</x:f>
        <x:v>554.1</x:v>
      </x:c>
      <x:c r="J69" s="46" t="str">
        <x:v>P2</x:v>
      </x:c>
      <x:c r="K69" s="44" t="str">
        <x:v>/receptes-amb-bolets/estofat-vedella</x:v>
      </x:c>
      <x:c r="L69" s="44" t="str">
        <x:v>Catalan recipe gap</x:v>
      </x:c>
      <x:c r="M69" s="44" t="str">
        <x:v>SE Ranking competitor gap</x:v>
      </x:c>
      <x:c r="N69" s="44" t="str">
        <x:v>https://seranking.com/</x:v>
      </x:c>
    </x:row>
    <x:row r="70">
      <x:c r="A70" s="44" t="str">
        <x:v>Recipes</x:v>
      </x:c>
      <x:c r="B70" s="44" t="str">
        <x:v>rovellons al forn</x:v>
      </x:c>
      <x:c r="C70" s="49" t="n">
        <x:v>210</x:v>
      </x:c>
      <x:c r="D70" s="50" t="n">
        <x:v>6</x:v>
      </x:c>
      <x:c r="E70" s="47" t="n">
        <x:v>0</x:v>
      </x:c>
      <x:c r="F70" s="44" t="str">
        <x:v>I</x:v>
      </x:c>
      <x:c r="G70" s="44" t="str">
        <x:v>Missing</x:v>
      </x:c>
      <x:c r="H70" s="51" t="n">
        <x:f>IF(G70="Missing",1,IF(G70="Partial",0.7,0.4))</x:f>
        <x:v>1</x:v>
      </x:c>
      <x:c r="I70" s="51" t="n">
        <x:f>IF(C70="","",ROUND(LN(C70+1)*(101-D70)*H70,1))</x:f>
        <x:v>508.4</x:v>
      </x:c>
      <x:c r="J70" s="45" t="str">
        <x:v>P1</x:v>
      </x:c>
      <x:c r="K70" s="44" t="str">
        <x:v>/receptes-amb-bolets/rovellons</x:v>
      </x:c>
      <x:c r="L70" s="44" t="str">
        <x:v>High-fit preparation intent</x:v>
      </x:c>
      <x:c r="M70" s="44" t="str">
        <x:v>SE Ranking related keywords</x:v>
      </x:c>
      <x:c r="N70" s="44" t="str">
        <x:v>https://seranking.com/</x:v>
      </x:c>
    </x:row>
    <x:row r="71">
      <x:c r="A71" s="44" t="str">
        <x:v>Recipes</x:v>
      </x:c>
      <x:c r="B71" s="44" t="str">
        <x:v>rovellons a la brasa</x:v>
      </x:c>
      <x:c r="C71" s="49" t="n">
        <x:v>70</x:v>
      </x:c>
      <x:c r="D71" s="50" t="n">
        <x:v>5</x:v>
      </x:c>
      <x:c r="E71" s="47" t="n">
        <x:v>0</x:v>
      </x:c>
      <x:c r="F71" s="44" t="str">
        <x:v>I</x:v>
      </x:c>
      <x:c r="G71" s="44" t="str">
        <x:v>Missing</x:v>
      </x:c>
      <x:c r="H71" s="51" t="n">
        <x:f>IF(G71="Missing",1,IF(G71="Partial",0.7,0.4))</x:f>
        <x:v>1</x:v>
      </x:c>
      <x:c r="I71" s="51" t="n">
        <x:f>IF(C71="","",ROUND(LN(C71+1)*(101-D71)*H71,1))</x:f>
        <x:v>409.2</x:v>
      </x:c>
      <x:c r="J71" s="45" t="str">
        <x:v>P1</x:v>
      </x:c>
      <x:c r="K71" s="44" t="str">
        <x:v>/receptes-amb-bolets/rovellons</x:v>
      </x:c>
      <x:c r="L71" s="44" t="str">
        <x:v>High-fit preparation intent</x:v>
      </x:c>
      <x:c r="M71" s="44" t="str">
        <x:v>SE Ranking related keywords</x:v>
      </x:c>
      <x:c r="N71" s="44" t="str">
        <x:v>https://seranking.com/</x:v>
      </x:c>
    </x:row>
    <x:row r="72">
      <x:c r="A72" s="44" t="str">
        <x:v>Preservation</x:v>
      </x:c>
      <x:c r="B72" s="44" t="str">
        <x:v>rovellons en conserva</x:v>
      </x:c>
      <x:c r="C72" s="49" t="n">
        <x:v>90</x:v>
      </x:c>
      <x:c r="D72" s="50" t="n">
        <x:v>6</x:v>
      </x:c>
      <x:c r="E72" s="47" t="n">
        <x:v>0.78</x:v>
      </x:c>
      <x:c r="F72" s="44" t="str">
        <x:v>I</x:v>
      </x:c>
      <x:c r="G72" s="44" t="str">
        <x:v>Partial</x:v>
      </x:c>
      <x:c r="H72" s="51" t="n">
        <x:f>IF(G72="Missing",1,IF(G72="Partial",0.7,0.4))</x:f>
        <x:v>0.7</x:v>
      </x:c>
      <x:c r="I72" s="51" t="n">
        <x:f>IF(C72="","",ROUND(LN(C72+1)*(101-D72)*H72,1))</x:f>
        <x:v>300</x:v>
      </x:c>
      <x:c r="J72" s="45" t="str">
        <x:v>P1</x:v>
      </x:c>
      <x:c r="K72" s="44" t="str">
        <x:v>/conservar-bolets/rovellons</x:v>
      </x:c>
      <x:c r="L72" s="44" t="str">
        <x:v>Expand generic guide with species-specific module</x:v>
      </x:c>
      <x:c r="M72" s="44" t="str">
        <x:v>SE Ranking related keywords</x:v>
      </x:c>
      <x:c r="N72" s="44" t="str">
        <x:v>https://seranking.com/</x:v>
      </x:c>
    </x:row>
    <x:row r="73">
      <x:c r="A73" s="44" t="str">
        <x:v>Preservation</x:v>
      </x:c>
      <x:c r="B73" s="44" t="str">
        <x:v>cómo conservar rovellons</x:v>
      </x:c>
      <x:c r="C73" s="49" t="n">
        <x:v>50</x:v>
      </x:c>
      <x:c r="D73" s="50" t="n">
        <x:v>7</x:v>
      </x:c>
      <x:c r="E73" s="47" t="n">
        <x:v>0</x:v>
      </x:c>
      <x:c r="F73" s="44" t="str">
        <x:v>I</x:v>
      </x:c>
      <x:c r="G73" s="44" t="str">
        <x:v>Partial</x:v>
      </x:c>
      <x:c r="H73" s="51" t="n">
        <x:f>IF(G73="Missing",1,IF(G73="Partial",0.7,0.4))</x:f>
        <x:v>0.7</x:v>
      </x:c>
      <x:c r="I73" s="51" t="n">
        <x:f>IF(C73="","",ROUND(LN(C73+1)*(101-D73)*H73,1))</x:f>
        <x:v>258.7</x:v>
      </x:c>
      <x:c r="J73" s="46" t="str">
        <x:v>P2</x:v>
      </x:c>
      <x:c r="K73" s="44" t="str">
        <x:v>/conservar-bolets/rovellons</x:v>
      </x:c>
      <x:c r="L73" s="44" t="str">
        <x:v>Spanish long-tail</x:v>
      </x:c>
      <x:c r="M73" s="44" t="str">
        <x:v>SE Ranking competitor gap</x:v>
      </x:c>
      <x:c r="N73" s="44" t="str">
        <x:v>https://seranking.com/</x:v>
      </x:c>
    </x:row>
    <x:row r="74">
      <x:c r="A74" s="44" t="str">
        <x:v>Preservation</x:v>
      </x:c>
      <x:c r="B74" s="44" t="str">
        <x:v>conserva rovellons</x:v>
      </x:c>
      <x:c r="C74" s="49" t="n">
        <x:v>50</x:v>
      </x:c>
      <x:c r="D74" s="50" t="n">
        <x:v>6</x:v>
      </x:c>
      <x:c r="E74" s="47" t="n">
        <x:v>0</x:v>
      </x:c>
      <x:c r="F74" s="44" t="str">
        <x:v>I</x:v>
      </x:c>
      <x:c r="G74" s="44" t="str">
        <x:v>Partial</x:v>
      </x:c>
      <x:c r="H74" s="51" t="n">
        <x:f>IF(G74="Missing",1,IF(G74="Partial",0.7,0.4))</x:f>
        <x:v>0.7</x:v>
      </x:c>
      <x:c r="I74" s="51" t="n">
        <x:f>IF(C74="","",ROUND(LN(C74+1)*(101-D74)*H74,1))</x:f>
        <x:v>261.5</x:v>
      </x:c>
      <x:c r="J74" s="45" t="str">
        <x:v>P1</x:v>
      </x:c>
      <x:c r="K74" s="44" t="str">
        <x:v>/conservar-bolets/rovellons</x:v>
      </x:c>
      <x:c r="L74" s="44" t="str">
        <x:v>Reachable query</x:v>
      </x:c>
      <x:c r="M74" s="44" t="str">
        <x:v>SE Ranking competitor gap</x:v>
      </x:c>
      <x:c r="N74" s="44" t="str">
        <x:v>https://seranking.com/</x:v>
      </x:c>
    </x:row>
    <x:row r="75">
      <x:c r="A75" s="44" t="str">
        <x:v>Preservation</x:v>
      </x:c>
      <x:c r="B75" s="44" t="str">
        <x:v>se pueden congelar los niscalos</x:v>
      </x:c>
      <x:c r="C75" s="49" t="n">
        <x:v>90</x:v>
      </x:c>
      <x:c r="D75" s="50" t="n">
        <x:v>8</x:v>
      </x:c>
      <x:c r="E75" s="47" t="n">
        <x:v>0</x:v>
      </x:c>
      <x:c r="F75" s="44" t="str">
        <x:v>I</x:v>
      </x:c>
      <x:c r="G75" s="44" t="str">
        <x:v>Partial</x:v>
      </x:c>
      <x:c r="H75" s="51" t="n">
        <x:f>IF(G75="Missing",1,IF(G75="Partial",0.7,0.4))</x:f>
        <x:v>0.7</x:v>
      </x:c>
      <x:c r="I75" s="51" t="n">
        <x:f>IF(C75="","",ROUND(LN(C75+1)*(101-D75)*H75,1))</x:f>
        <x:v>293.7</x:v>
      </x:c>
      <x:c r="J75" s="46" t="str">
        <x:v>P2</x:v>
      </x:c>
      <x:c r="K75" s="44" t="str">
        <x:v>/conservar-bolets/rovellons</x:v>
      </x:c>
      <x:c r="L75" s="44" t="str">
        <x:v>Question-format opportunity</x:v>
      </x:c>
      <x:c r="M75" s="44" t="str">
        <x:v>SE Ranking related keywords</x:v>
      </x:c>
      <x:c r="N75" s="44" t="str">
        <x:v>https://seranking.com/</x:v>
      </x:c>
    </x:row>
    <x:row r="76">
      <x:c r="A76" s="44" t="str">
        <x:v>Preservation</x:v>
      </x:c>
      <x:c r="B76" s="44" t="str">
        <x:v>congelar camagrocs</x:v>
      </x:c>
      <x:c r="C76" s="49" t="n">
        <x:v>40</x:v>
      </x:c>
      <x:c r="D76" s="50" t="n">
        <x:v>6</x:v>
      </x:c>
      <x:c r="E76" s="47" t="n">
        <x:v>0</x:v>
      </x:c>
      <x:c r="F76" s="44" t="str">
        <x:v>I</x:v>
      </x:c>
      <x:c r="G76" s="44" t="str">
        <x:v>Partial</x:v>
      </x:c>
      <x:c r="H76" s="51" t="n">
        <x:f>IF(G76="Missing",1,IF(G76="Partial",0.7,0.4))</x:f>
        <x:v>0.7</x:v>
      </x:c>
      <x:c r="I76" s="51" t="n">
        <x:f>IF(C76="","",ROUND(LN(C76+1)*(101-D76)*H76,1))</x:f>
        <x:v>247</x:v>
      </x:c>
      <x:c r="J76" s="45" t="str">
        <x:v>P1</x:v>
      </x:c>
      <x:c r="K76" s="44" t="str">
        <x:v>/conservar-bolets/camagrocs</x:v>
      </x:c>
      <x:c r="L76" s="44" t="str">
        <x:v>Species-specific preservation</x:v>
      </x:c>
      <x:c r="M76" s="44" t="str">
        <x:v>SE Ranking competitor gap</x:v>
      </x:c>
      <x:c r="N76" s="44" t="str">
        <x:v>https://seranking.com/</x:v>
      </x:c>
    </x:row>
  </x:sheetData>
  <x:mergeCells>
    <x:mergeCell ref="A1:N1"/>
    <x:mergeCell ref="A2:N2"/>
  </x:mergeCells>
  <x:pageMargins left="0.7" right="0.7" top="0.75" bottom="0.75" header="0.3" footer="0.3"/>
  <x:tableParts count="1">
    <x:tablePart xmlns:r="http://schemas.openxmlformats.org/officeDocument/2006/relationships" r:id="R8579bcb33bf94fa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1" hidden="0" customWidth="1"/>
    <x:col min="3" max="3" width="13" hidden="0" customWidth="1"/>
    <x:col min="4" max="4" width="12" hidden="0" customWidth="1"/>
    <x:col min="5" max="5" width="4" hidden="0" customWidth="1"/>
    <x:col min="6" max="6" width="55" hidden="0" customWidth="1"/>
    <x:col min="7" max="7" width="11" hidden="0" customWidth="1"/>
    <x:col min="8" max="8" width="13" hidden="0" customWidth="1"/>
    <x:col min="9" max="9" width="12" hidden="0" customWidth="1"/>
    <x:col min="10" max="10" width="4" hidden="0" customWidth="1"/>
  </x:cols>
  <x:sheetData>
    <x:row r="1" ht="34" customHeight="1">
      <x:c r="A1" s="3" t="str">
        <x:v>Google Search Console performance</x:v>
      </x:c>
      <x:c r="B1" s="3" t="str">
        <x:v>Google Search Console performance</x:v>
      </x:c>
      <x:c r="C1" s="3" t="str">
        <x:v>Google Search Console performance</x:v>
      </x:c>
      <x:c r="D1" s="3" t="str">
        <x:v>Google Search Console performance</x:v>
      </x:c>
      <x:c r="E1" s="3" t="str">
        <x:v>Google Search Console performance</x:v>
      </x:c>
      <x:c r="F1" s="3" t="str">
        <x:v>Google Search Console performance</x:v>
      </x:c>
      <x:c r="G1" s="3" t="str">
        <x:v>Google Search Console performance</x:v>
      </x:c>
      <x:c r="H1" s="3" t="str">
        <x:v>Google Search Console performance</x:v>
      </x:c>
      <x:c r="I1" s="3" t="str">
        <x:v>Google Search Console performance</x:v>
      </x:c>
      <x:c r="J1" s="3" t="str">
        <x:v>Google Search Console performance</x:v>
      </x:c>
    </x:row>
    <x:row r="2" ht="28" customHeight="1">
      <x:c r="A2" s="6" t="str">
        <x:v>Selected 3 months; available chart data 2026-08-11 to 2026-08-31</x:v>
      </x:c>
      <x:c r="B2" s="6" t="str">
        <x:v>Selected 3 months; available chart data 2026-08-11 to 2026-08-31</x:v>
      </x:c>
      <x:c r="C2" s="6" t="str">
        <x:v>Selected 3 months; available chart data 2026-08-11 to 2026-08-31</x:v>
      </x:c>
      <x:c r="D2" s="6" t="str">
        <x:v>Selected 3 months; available chart data 2026-08-11 to 2026-08-31</x:v>
      </x:c>
      <x:c r="E2" s="6" t="str">
        <x:v>Selected 3 months; available chart data 2026-08-11 to 2026-08-31</x:v>
      </x:c>
      <x:c r="F2" s="6" t="str">
        <x:v>Selected 3 months; available chart data 2026-08-11 to 2026-08-31</x:v>
      </x:c>
      <x:c r="G2" s="6" t="str">
        <x:v>Selected 3 months; available chart data 2026-08-11 to 2026-08-31</x:v>
      </x:c>
      <x:c r="H2" s="6" t="str">
        <x:v>Selected 3 months; available chart data 2026-08-11 to 2026-08-31</x:v>
      </x:c>
      <x:c r="I2" s="6" t="str">
        <x:v>Selected 3 months; available chart data 2026-08-11 to 2026-08-31</x:v>
      </x:c>
      <x:c r="J2" s="6" t="str">
        <x:v>Selected 3 months; available chart data 2026-08-11 to 2026-08-31</x:v>
      </x:c>
      <x:c r="K2" s="6" t="str">
        <x:v>Selected 3 months; available chart data 2026-08-11 to 2026-08-31</x:v>
      </x:c>
      <x:c r="L2" s="6" t="str">
        <x:v>Selected 3 months; available chart data 2026-08-11 to 2026-08-31</x:v>
      </x:c>
      <x:c r="M2" s="6" t="str">
        <x:v>Selected 3 months; available chart data 2026-08-11 to 2026-08-31</x:v>
      </x:c>
      <x:c r="N2" s="6" t="str">
        <x:v>Selected 3 months; available chart data 2026-08-11 to 2026-08-31</x:v>
      </x:c>
    </x:row>
    <x:row r="4" ht="23" customHeight="1">
      <x:c r="A4" s="9" t="str">
        <x:v>Core metrics</x:v>
      </x:c>
      <x:c r="B4" s="9" t="str">
        <x:v>Core metrics</x:v>
      </x:c>
      <x:c r="C4" s="9" t="str">
        <x:v>Core metrics</x:v>
      </x:c>
      <x:c r="D4" s="9" t="str">
        <x:v>Core metrics</x:v>
      </x:c>
      <x:c r="E4" s="9" t="str">
        <x:v>Core metrics</x:v>
      </x:c>
      <x:c r="F4" s="9" t="str">
        <x:v>Core metrics</x:v>
      </x:c>
      <x:c r="G4" s="9" t="str">
        <x:v>Core metrics</x:v>
      </x:c>
      <x:c r="H4" s="9" t="str">
        <x:v>Core metrics</x:v>
      </x:c>
      <x:c r="I4" s="9" t="str">
        <x:v>Core metrics</x:v>
      </x:c>
      <x:c r="J4" s="9" t="str">
        <x:v>Core metrics</x:v>
      </x:c>
    </x:row>
    <x:row r="5" ht="30" customHeight="1">
      <x:c r="A5" s="40" t="str">
        <x:v>Clicks</x:v>
      </x:c>
      <x:c r="B5" s="40" t="n">
        <x:v>195</x:v>
      </x:c>
      <x:c r="C5" s="40" t="str">
        <x:v>Impressions</x:v>
      </x:c>
      <x:c r="D5" s="40" t="n">
        <x:v>7140</x:v>
      </x:c>
      <x:c r="E5" s="40" t="str">
        <x:v>CTR</x:v>
      </x:c>
      <x:c r="F5" s="52" t="n">
        <x:v>0.027</x:v>
      </x:c>
      <x:c r="G5" s="40" t="str">
        <x:v>Average position</x:v>
      </x:c>
      <x:c r="H5" s="40" t="n">
        <x:v>27.7</x:v>
      </x:c>
    </x:row>
    <x:row r="6">
      <x:c r="A6" s="44" t="str">
        <x:v>Indexed</x:v>
      </x:c>
      <x:c r="B6" s="44" t="n">
        <x:v>158</x:v>
      </x:c>
      <x:c r="C6" s="44" t="str">
        <x:v>Not indexed</x:v>
      </x:c>
      <x:c r="D6" s="44" t="n">
        <x:v>52</x:v>
      </x:c>
      <x:c r="E6" s="44" t="str">
        <x:v>Known pages</x:v>
      </x:c>
      <x:c r="F6" s="44" t="n">
        <x:v>210</x:v>
      </x:c>
      <x:c r="G6" s="44" t="str">
        <x:v>Sitemap URLs</x:v>
      </x:c>
      <x:c r="H6" s="44" t="n">
        <x:v>215</x:v>
      </x:c>
    </x:row>
    <x:row r="7">
      <x:c r="A7" s="44" t="str">
        <x:v>Sitemap status</x:v>
      </x:c>
      <x:c r="B7" s="44" t="str">
        <x:v>Correct</x:v>
      </x:c>
      <x:c r="C7" s="44" t="str">
        <x:v>Last read</x:v>
      </x:c>
      <x:c r="D7" s="44" t="str">
        <x:v>2026-09-02</x:v>
      </x:c>
      <x:c r="E7" s="44" t="str"/>
      <x:c r="F7" s="44" t="str"/>
      <x:c r="G7" s="44" t="str"/>
      <x:c r="H7" s="44" t="str"/>
    </x:row>
    <x:row r="10" ht="23" customHeight="1">
      <x:c r="A10" s="9" t="str">
        <x:v>Top queries</x:v>
      </x:c>
      <x:c r="B10" s="9" t="str">
        <x:v>Top queries</x:v>
      </x:c>
      <x:c r="C10" s="9" t="str">
        <x:v>Top queries</x:v>
      </x:c>
      <x:c r="D10" s="9" t="str">
        <x:v>Top queries</x:v>
      </x:c>
      <x:c r="E10" s="9" t="str">
        <x:v>Top queries</x:v>
      </x:c>
      <x:c r="F10" s="9" t="str">
        <x:v>Top pages</x:v>
      </x:c>
      <x:c r="G10" s="9" t="str">
        <x:v>Top pages</x:v>
      </x:c>
      <x:c r="H10" s="9" t="str">
        <x:v>Top pages</x:v>
      </x:c>
      <x:c r="I10" s="9" t="str">
        <x:v>Top pages</x:v>
      </x:c>
      <x:c r="J10" s="9" t="str">
        <x:v>Top pages</x:v>
      </x:c>
    </x:row>
    <x:row r="11" ht="30" customHeight="1">
      <x:c r="A11" s="40" t="str">
        <x:v>Query</x:v>
      </x:c>
      <x:c r="B11" s="40" t="str">
        <x:v>Clicks</x:v>
      </x:c>
      <x:c r="C11" s="40" t="str">
        <x:v>Impressions</x:v>
      </x:c>
      <x:c r="D11" s="40" t="str">
        <x:v>CTR</x:v>
      </x:c>
      <x:c r="F11" s="40" t="str">
        <x:v>Page</x:v>
      </x:c>
      <x:c r="G11" s="40" t="str">
        <x:v>Clicks</x:v>
      </x:c>
      <x:c r="H11" s="40" t="str">
        <x:v>Impressions</x:v>
      </x:c>
      <x:c r="I11" s="40" t="str">
        <x:v>CTR</x:v>
      </x:c>
    </x:row>
    <x:row r="12">
      <x:c r="A12" s="44" t="str">
        <x:v>bolets port del comte</x:v>
      </x:c>
      <x:c r="B12" s="44" t="n">
        <x:v>2</x:v>
      </x:c>
      <x:c r="C12" s="44" t="n">
        <x:v>53</x:v>
      </x:c>
      <x:c r="D12" s="53" t="n">
        <x:f>IF(C12=0,0,B12/C12)</x:f>
        <x:v>0.03773584905660377</x:v>
      </x:c>
      <x:c r="F12" s="44" t="str">
        <x:v>https://bolets.app/zones/ceps</x:v>
      </x:c>
      <x:c r="G12" s="44" t="n">
        <x:v>47</x:v>
      </x:c>
      <x:c r="H12" s="44" t="n">
        <x:v>611</x:v>
      </x:c>
      <x:c r="I12" s="53" t="n">
        <x:f>IF(H12=0,0,G12/H12)</x:f>
        <x:v>0.07692307692307693</x:v>
      </x:c>
    </x:row>
    <x:row r="13">
      <x:c r="A13" s="44" t="str">
        <x:v>tipus de bolets a catalunya</x:v>
      </x:c>
      <x:c r="B13" s="44" t="n">
        <x:v>2</x:v>
      </x:c>
      <x:c r="C13" s="44" t="n">
        <x:v>35</x:v>
      </x:c>
      <x:c r="D13" s="53" t="n">
        <x:f>IF(C13=0,0,B13/C13)</x:f>
        <x:v>0.05714285714285714</x:v>
      </x:c>
      <x:c r="F13" s="44" t="str">
        <x:v>https://bolets.app/</x:v>
      </x:c>
      <x:c r="G13" s="44" t="n">
        <x:v>37</x:v>
      </x:c>
      <x:c r="H13" s="44" t="n">
        <x:v>584</x:v>
      </x:c>
      <x:c r="I13" s="53" t="n">
        <x:f>IF(H13=0,0,G13/H13)</x:f>
        <x:v>0.06335616438356165</x:v>
      </x:c>
    </x:row>
    <x:row r="14">
      <x:c r="A14" s="44" t="str">
        <x:v>pinetells</x:v>
      </x:c>
      <x:c r="B14" s="44" t="n">
        <x:v>1</x:v>
      </x:c>
      <x:c r="C14" s="44" t="n">
        <x:v>71</x:v>
      </x:c>
      <x:c r="D14" s="53" t="n">
        <x:f>IF(C14=0,0,B14/C14)</x:f>
        <x:v>0.014084507042253521</x:v>
      </x:c>
      <x:c r="F14" s="44" t="str">
        <x:v>https://bolets.app/temporada/agost</x:v>
      </x:c>
      <x:c r="G14" s="44" t="n">
        <x:v>13</x:v>
      </x:c>
      <x:c r="H14" s="44" t="n">
        <x:v>93</x:v>
      </x:c>
      <x:c r="I14" s="53" t="n">
        <x:f>IF(H14=0,0,G14/H14)</x:f>
        <x:v>0.13978494623655913</x:v>
      </x:c>
    </x:row>
    <x:row r="15">
      <x:c r="A15" s="44" t="str">
        <x:v>app bolets de catalunya</x:v>
      </x:c>
      <x:c r="B15" s="44" t="n">
        <x:v>1</x:v>
      </x:c>
      <x:c r="C15" s="44" t="n">
        <x:v>65</x:v>
      </x:c>
      <x:c r="D15" s="53" t="n">
        <x:f>IF(C15=0,0,B15/C15)</x:f>
        <x:v>0.015384615384615385</x:v>
      </x:c>
      <x:c r="F15" s="44" t="str">
        <x:v>https://bolets.app/bolets-d-estiu</x:v>
      </x:c>
      <x:c r="G15" s="44" t="n">
        <x:v>8</x:v>
      </x:c>
      <x:c r="H15" s="44" t="n">
        <x:v>643</x:v>
      </x:c>
      <x:c r="I15" s="53" t="n">
        <x:f>IF(H15=0,0,G15/H15)</x:f>
        <x:v>0.012441679626749611</x:v>
      </x:c>
    </x:row>
    <x:row r="16">
      <x:c r="A16" s="44" t="str">
        <x:v>cep bolet</x:v>
      </x:c>
      <x:c r="B16" s="44" t="n">
        <x:v>1</x:v>
      </x:c>
      <x:c r="C16" s="44" t="n">
        <x:v>58</x:v>
      </x:c>
      <x:c r="D16" s="53" t="n">
        <x:f>IF(C16=0,0,B16/C16)</x:f>
        <x:v>0.017241379310344827</x:v>
      </x:c>
      <x:c r="F16" s="44" t="str">
        <x:v>https://bolets.app/bolets</x:v>
      </x:c>
      <x:c r="G16" s="44" t="n">
        <x:v>7</x:v>
      </x:c>
      <x:c r="H16" s="44" t="n">
        <x:v>1111</x:v>
      </x:c>
      <x:c r="I16" s="53" t="n">
        <x:f>IF(H16=0,0,G16/H16)</x:f>
        <x:v>0.0063006300630063005</x:v>
      </x:c>
    </x:row>
    <x:row r="17">
      <x:c r="A17" s="44" t="str">
        <x:v>ceps bolets</x:v>
      </x:c>
      <x:c r="B17" s="44" t="n">
        <x:v>1</x:v>
      </x:c>
      <x:c r="C17" s="44" t="n">
        <x:v>52</x:v>
      </x:c>
      <x:c r="D17" s="53" t="n">
        <x:f>IF(C17=0,0,B17/C17)</x:f>
        <x:v>0.019230769230769232</x:v>
      </x:c>
      <x:c r="F17" s="44" t="str">
        <x:v>https://bolets.app/map</x:v>
      </x:c>
      <x:c r="G17" s="44" t="n">
        <x:v>7</x:v>
      </x:c>
      <x:c r="H17" s="44" t="n">
        <x:v>87</x:v>
      </x:c>
      <x:c r="I17" s="53" t="n">
        <x:f>IF(H17=0,0,G17/H17)</x:f>
        <x:v>0.08045977011494253</x:v>
      </x:c>
    </x:row>
    <x:row r="18">
      <x:c r="A18" s="44" t="str">
        <x:v>bolets de primavera</x:v>
      </x:c>
      <x:c r="B18" s="44" t="n">
        <x:v>1</x:v>
      </x:c>
      <x:c r="C18" s="44" t="n">
        <x:v>42</x:v>
      </x:c>
      <x:c r="D18" s="53" t="n">
        <x:f>IF(C18=0,0,B18/C18)</x:f>
        <x:v>0.023809523809523808</x:v>
      </x:c>
      <x:c r="F18" s="44" t="str">
        <x:v>https://bolets.app/zones/solsones/port-del-comte/ceps</x:v>
      </x:c>
      <x:c r="G18" s="44" t="n">
        <x:v>7</x:v>
      </x:c>
      <x:c r="H18" s="44" t="n">
        <x:v>65</x:v>
      </x:c>
      <x:c r="I18" s="53" t="n">
        <x:f>IF(H18=0,0,G18/H18)</x:f>
        <x:v>0.1076923076923077</x:v>
      </x:c>
    </x:row>
    <x:row r="19">
      <x:c r="A19" s="44" t="str">
        <x:v>fals cep</x:v>
      </x:c>
      <x:c r="B19" s="44" t="n">
        <x:v>1</x:v>
      </x:c>
      <x:c r="C19" s="44" t="n">
        <x:v>39</x:v>
      </x:c>
      <x:c r="D19" s="53" t="n">
        <x:f>IF(C19=0,0,B19/C19)</x:f>
        <x:v>0.02564102564102564</x:v>
      </x:c>
      <x:c r="F19" s="44" t="str">
        <x:v>https://bolets.app/temporada</x:v>
      </x:c>
      <x:c r="G19" s="44" t="n">
        <x:v>5</x:v>
      </x:c>
      <x:c r="H19" s="44" t="n">
        <x:v>152</x:v>
      </x:c>
      <x:c r="I19" s="53" t="n">
        <x:f>IF(H19=0,0,G19/H19)</x:f>
        <x:v>0.03289473684210526</x:v>
      </x:c>
    </x:row>
    <x:row r="20">
      <x:c r="A20" s="44" t="str">
        <x:v>paxil·le involut</x:v>
      </x:c>
      <x:c r="B20" s="44" t="n">
        <x:v>1</x:v>
      </x:c>
      <x:c r="C20" s="44" t="n">
        <x:v>33</x:v>
      </x:c>
      <x:c r="D20" s="53" t="n">
        <x:f>IF(C20=0,0,B20/C20)</x:f>
        <x:v>0.030303030303030304</x:v>
      </x:c>
      <x:c r="F20" s="44" t="str">
        <x:v>https://bolets.app/zones/bergueda/rasos-de-peguera/ceps</x:v>
      </x:c>
      <x:c r="G20" s="44" t="n">
        <x:v>5</x:v>
      </x:c>
      <x:c r="H20" s="44" t="n">
        <x:v>51</x:v>
      </x:c>
      <x:c r="I20" s="53" t="n">
        <x:f>IF(H20=0,0,G20/H20)</x:f>
        <x:v>0.09803921568627451</x:v>
      </x:c>
    </x:row>
    <x:row r="21">
      <x:c r="A21" s="44" t="str">
        <x:v>bolets muntanyes de prades</x:v>
      </x:c>
      <x:c r="B21" s="44" t="n">
        <x:v>1</x:v>
      </x:c>
      <x:c r="C21" s="44" t="n">
        <x:v>28</x:v>
      </x:c>
      <x:c r="D21" s="53" t="n">
        <x:f>IF(C21=0,0,B21/C21)</x:f>
        <x:v>0.03571428571428571</x:v>
      </x:c>
      <x:c r="F21" s="44" t="str">
        <x:v>https://bolets.app/zones/solsones/port-del-comte</x:v>
      </x:c>
      <x:c r="G21" s="44" t="n">
        <x:v>4</x:v>
      </x:c>
      <x:c r="H21" s="44" t="n">
        <x:v>109</x:v>
      </x:c>
      <x:c r="I21" s="53" t="n">
        <x:f>IF(H21=0,0,G21/H21)</x:f>
        <x:v>0.03669724770642202</x:v>
      </x:c>
    </x:row>
    <x:row r="22">
      <x:c r="A22" s="44" t="str">
        <x:v>bolets venenosos</x:v>
      </x:c>
      <x:c r="B22" s="44" t="n">
        <x:v>1</x:v>
      </x:c>
      <x:c r="C22" s="44" t="n">
        <x:v>23</x:v>
      </x:c>
      <x:c r="D22" s="53" t="n">
        <x:f>IF(C22=0,0,B22/C22)</x:f>
        <x:v>0.043478260869565216</x:v>
      </x:c>
    </x:row>
    <x:row r="23">
      <x:c r="A23" s="44" t="str">
        <x:v>bolets de soca comestibles</x:v>
      </x:c>
      <x:c r="B23" s="44" t="n">
        <x:v>1</x:v>
      </x:c>
      <x:c r="C23" s="44" t="n">
        <x:v>3</x:v>
      </x:c>
      <x:c r="D23" s="53" t="n">
        <x:f>IF(C23=0,0,B23/C23)</x:f>
        <x:v>0.3333333333333333</x:v>
      </x:c>
    </x:row>
    <x:row r="26" ht="23" customHeight="1">
      <x:c r="A26" s="9" t="str">
        <x:v>Index coverage exclusions</x:v>
      </x:c>
      <x:c r="B26" s="9" t="str">
        <x:v>Index coverage exclusions</x:v>
      </x:c>
      <x:c r="C26" s="9" t="str">
        <x:v>Index coverage exclusions</x:v>
      </x:c>
      <x:c r="D26" s="9" t="str">
        <x:v>Index coverage exclusions</x:v>
      </x:c>
      <x:c r="E26" s="9" t="str">
        <x:v>Index coverage exclusions</x:v>
      </x:c>
    </x:row>
    <x:row r="27" ht="30" customHeight="1">
      <x:c r="A27" s="40" t="str">
        <x:v>Reason</x:v>
      </x:c>
      <x:c r="B27" s="40" t="str">
        <x:v>Pages</x:v>
      </x:c>
    </x:row>
    <x:row r="28">
      <x:c r="A28" s="44" t="str">
        <x:v>Discovered — currently not indexed</x:v>
      </x:c>
      <x:c r="B28" s="44" t="n">
        <x:v>40</x:v>
      </x:c>
    </x:row>
    <x:row r="29">
      <x:c r="A29" s="44" t="str">
        <x:v>Page with redirect</x:v>
      </x:c>
      <x:c r="B29" s="44" t="n">
        <x:v>9</x:v>
      </x:c>
    </x:row>
    <x:row r="30">
      <x:c r="A30" s="44" t="str">
        <x:v>Crawled — currently not indexed</x:v>
      </x:c>
      <x:c r="B30" s="44" t="n">
        <x:v>2</x:v>
      </x:c>
    </x:row>
    <x:row r="31">
      <x:c r="A31" s="44" t="str">
        <x:v>Blocked by robots.txt</x:v>
      </x:c>
      <x:c r="B31" s="44" t="n">
        <x:v>1</x:v>
      </x:c>
    </x:row>
  </x:sheetData>
  <x:mergeCells>
    <x:mergeCell ref="A1:J1"/>
    <x:mergeCell ref="A2:N2"/>
    <x:mergeCell ref="A4:J4"/>
    <x:mergeCell ref="A10:E10"/>
    <x:mergeCell ref="F10:J10"/>
    <x:mergeCell ref="A26:E2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33" hidden="0" customWidth="1"/>
    <x:col min="3" max="3" width="10" hidden="0" customWidth="1"/>
    <x:col min="4" max="4" width="12" hidden="0" customWidth="1"/>
    <x:col min="5" max="5" width="15" hidden="0" customWidth="1"/>
    <x:col min="6" max="6" width="10" hidden="0" customWidth="1"/>
    <x:col min="7" max="7" width="55" hidden="0" customWidth="1"/>
    <x:col min="8" max="8" width="13" hidden="0" customWidth="1"/>
  </x:cols>
  <x:sheetData>
    <x:row r="1" ht="34" customHeight="1">
      <x:c r="A1" s="3" t="str">
        <x:v>Current tracked rankings</x:v>
      </x:c>
      <x:c r="B1" s="3" t="str">
        <x:v>Current tracked rankings</x:v>
      </x:c>
      <x:c r="C1" s="3" t="str">
        <x:v>Current tracked rankings</x:v>
      </x:c>
      <x:c r="D1" s="3" t="str">
        <x:v>Current tracked rankings</x:v>
      </x:c>
      <x:c r="E1" s="3" t="str">
        <x:v>Current tracked rankings</x:v>
      </x:c>
      <x:c r="F1" s="3" t="str">
        <x:v>Current tracked rankings</x:v>
      </x:c>
      <x:c r="G1" s="3" t="str">
        <x:v>Current tracked rankings</x:v>
      </x:c>
      <x:c r="H1" s="3" t="str">
        <x:v>Current tracked rankings</x:v>
      </x:c>
    </x:row>
    <x:row r="2" ht="28" customHeight="1">
      <x:c r="A2" s="6" t="str">
        <x:v>SE Ranking snapshot 2026-09-02. Landing pages may include legacy tracker targets; validate current canonical redirects.</x:v>
      </x:c>
      <x:c r="B2" s="6" t="str">
        <x:v>SE Ranking snapshot 2026-09-02. Landing pages may include legacy tracker targets; validate current canonical redirects.</x:v>
      </x:c>
      <x:c r="C2" s="6" t="str">
        <x:v>SE Ranking snapshot 2026-09-02. Landing pages may include legacy tracker targets; validate current canonical redirects.</x:v>
      </x:c>
      <x:c r="D2" s="6" t="str">
        <x:v>SE Ranking snapshot 2026-09-02. Landing pages may include legacy tracker targets; validate current canonical redirects.</x:v>
      </x:c>
      <x:c r="E2" s="6" t="str">
        <x:v>SE Ranking snapshot 2026-09-02. Landing pages may include legacy tracker targets; validate current canonical redirects.</x:v>
      </x:c>
      <x:c r="F2" s="6" t="str">
        <x:v>SE Ranking snapshot 2026-09-02. Landing pages may include legacy tracker targets; validate current canonical redirects.</x:v>
      </x:c>
      <x:c r="G2" s="6" t="str">
        <x:v>SE Ranking snapshot 2026-09-02. Landing pages may include legacy tracker targets; validate current canonical redirects.</x:v>
      </x:c>
      <x:c r="H2" s="6" t="str">
        <x:v>SE Ranking snapshot 2026-09-02. Landing pages may include legacy tracker targets; validate current canonical redirects.</x:v>
      </x:c>
      <x:c r="I2" s="6" t="str">
        <x:v>SE Ranking snapshot 2026-09-02. Landing pages may include legacy tracker targets; validate current canonical redirects.</x:v>
      </x:c>
      <x:c r="J2" s="6" t="str">
        <x:v>SE Ranking snapshot 2026-09-02. Landing pages may include legacy tracker targets; validate current canonical redirects.</x:v>
      </x:c>
      <x:c r="K2" s="6" t="str">
        <x:v>SE Ranking snapshot 2026-09-02. Landing pages may include legacy tracker targets; validate current canonical redirects.</x:v>
      </x:c>
      <x:c r="L2" s="6" t="str">
        <x:v>SE Ranking snapshot 2026-09-02. Landing pages may include legacy tracker targets; validate current canonical redirects.</x:v>
      </x:c>
      <x:c r="M2" s="6" t="str">
        <x:v>SE Ranking snapshot 2026-09-02. Landing pages may include legacy tracker targets; validate current canonical redirects.</x:v>
      </x:c>
      <x:c r="N2" s="6" t="str">
        <x:v>SE Ranking snapshot 2026-09-02. Landing pages may include legacy tracker targets; validate current canonical redirects.</x:v>
      </x:c>
    </x:row>
    <x:row r="4" ht="30" customHeight="1">
      <x:c r="A4" s="40" t="str">
        <x:v>Engine</x:v>
      </x:c>
      <x:c r="B4" s="40" t="str">
        <x:v>Keyword</x:v>
      </x:c>
      <x:c r="C4" s="40" t="str">
        <x:v>Position</x:v>
      </x:c>
      <x:c r="D4" s="40" t="str">
        <x:v>Volume / mo</x:v>
      </x:c>
      <x:c r="E4" s="40" t="str">
        <x:v>Paid competition</x:v>
      </x:c>
      <x:c r="F4" s="40" t="str">
        <x:v>CPC</x:v>
      </x:c>
      <x:c r="G4" s="40" t="str">
        <x:v>Landing page</x:v>
      </x:c>
      <x:c r="H4" s="40" t="str">
        <x:v>Date</x:v>
      </x:c>
    </x:row>
    <x:row r="5">
      <x:c r="A5" s="44" t="str">
        <x:v>Google Spain — Catalan</x:v>
      </x:c>
      <x:c r="B5" s="44" t="str">
        <x:v>cortinari rogenc</x:v>
      </x:c>
      <x:c r="C5" s="48" t="n">
        <x:v>1</x:v>
      </x:c>
      <x:c r="D5" s="49" t="n">
        <x:v>0</x:v>
      </x:c>
      <x:c r="E5" s="47" t="n">
        <x:v>0</x:v>
      </x:c>
      <x:c r="F5" s="47" t="n">
        <x:v>0</x:v>
      </x:c>
      <x:c r="G5" s="44" t="str">
        <x:v>https://bolets.app/bolets/cortinarius-rubellus</x:v>
      </x:c>
      <x:c r="H5" s="44" t="str">
        <x:v>2026-09-02</x:v>
      </x:c>
    </x:row>
    <x:row r="6">
      <x:c r="A6" s="44" t="str">
        <x:v>Google Spain — Spanish</x:v>
      </x:c>
      <x:c r="B6" s="44" t="str">
        <x:v>paxil·le involut</x:v>
      </x:c>
      <x:c r="C6" s="48" t="n">
        <x:v>1</x:v>
      </x:c>
      <x:c r="D6" s="49" t="n">
        <x:v>0</x:v>
      </x:c>
      <x:c r="E6" s="47" t="n">
        <x:v>0</x:v>
      </x:c>
      <x:c r="F6" s="47" t="n">
        <x:v>0</x:v>
      </x:c>
      <x:c r="G6" s="44" t="str">
        <x:v>https://bolets.app/bolets/paxillus-involutus</x:v>
      </x:c>
      <x:c r="H6" s="44" t="str">
        <x:v>2026-09-02</x:v>
      </x:c>
    </x:row>
    <x:row r="7">
      <x:c r="A7" s="44" t="str">
        <x:v>Google Spain — Spanish</x:v>
      </x:c>
      <x:c r="B7" s="44" t="str">
        <x:v>cortinari rogenc</x:v>
      </x:c>
      <x:c r="C7" s="48" t="n">
        <x:v>1</x:v>
      </x:c>
      <x:c r="D7" s="49" t="n">
        <x:v>0</x:v>
      </x:c>
      <x:c r="E7" s="47" t="n">
        <x:v>0</x:v>
      </x:c>
      <x:c r="F7" s="47" t="n">
        <x:v>0</x:v>
      </x:c>
      <x:c r="G7" s="44" t="str">
        <x:v>https://bolets.app/bolets/cortinarius-rubellus</x:v>
      </x:c>
      <x:c r="H7" s="44" t="str">
        <x:v>2026-09-02</x:v>
      </x:c>
    </x:row>
    <x:row r="8">
      <x:c r="A8" s="44" t="str">
        <x:v>Google Mobile — Catalonia/Catalan</x:v>
      </x:c>
      <x:c r="B8" s="44" t="str">
        <x:v>cortinari rogenc</x:v>
      </x:c>
      <x:c r="C8" s="48" t="n">
        <x:v>1</x:v>
      </x:c>
      <x:c r="D8" s="49" t="n">
        <x:v>0</x:v>
      </x:c>
      <x:c r="E8" s="47" t="n">
        <x:v>0</x:v>
      </x:c>
      <x:c r="F8" s="47" t="n">
        <x:v>0</x:v>
      </x:c>
      <x:c r="G8" s="44" t="str">
        <x:v>https://bolets.app/bolets/cortinarius-rubellus</x:v>
      </x:c>
      <x:c r="H8" s="44" t="str">
        <x:v>2026-09-02</x:v>
      </x:c>
    </x:row>
    <x:row r="9">
      <x:c r="A9" s="44" t="str">
        <x:v>Google Mobile — Catalonia/Catalan</x:v>
      </x:c>
      <x:c r="B9" s="44" t="str">
        <x:v>candeleta de prat</x:v>
      </x:c>
      <x:c r="C9" s="48" t="n">
        <x:v>1</x:v>
      </x:c>
      <x:c r="D9" s="49" t="n">
        <x:v>0</x:v>
      </x:c>
      <x:c r="E9" s="47" t="n">
        <x:v>0</x:v>
      </x:c>
      <x:c r="F9" s="47" t="n">
        <x:v>0</x:v>
      </x:c>
      <x:c r="G9" s="44" t="str">
        <x:v>https://bolets.app/bolets/clitocybe-rivulosa</x:v>
      </x:c>
      <x:c r="H9" s="44" t="str">
        <x:v>2026-09-02</x:v>
      </x:c>
    </x:row>
    <x:row r="10">
      <x:c r="A10" s="44" t="str">
        <x:v>Google Spain — Catalan</x:v>
      </x:c>
      <x:c r="B10" s="44" t="str">
        <x:v>candeleta de prat</x:v>
      </x:c>
      <x:c r="C10" s="48" t="n">
        <x:v>2</x:v>
      </x:c>
      <x:c r="D10" s="49" t="n">
        <x:v>0</x:v>
      </x:c>
      <x:c r="E10" s="47" t="n">
        <x:v>0</x:v>
      </x:c>
      <x:c r="F10" s="47" t="n">
        <x:v>0</x:v>
      </x:c>
      <x:c r="G10" s="44" t="str">
        <x:v>https://bolets.app/bolets/clitocybe-rivulosa</x:v>
      </x:c>
      <x:c r="H10" s="44" t="str">
        <x:v>2026-09-02</x:v>
      </x:c>
    </x:row>
    <x:row r="11">
      <x:c r="A11" s="44" t="str">
        <x:v>Google Mobile — Catalonia/Catalan</x:v>
      </x:c>
      <x:c r="B11" s="44" t="str">
        <x:v>farinera pudent</x:v>
      </x:c>
      <x:c r="C11" s="48" t="n">
        <x:v>2</x:v>
      </x:c>
      <x:c r="D11" s="49" t="n">
        <x:v>0</x:v>
      </x:c>
      <x:c r="E11" s="47" t="n">
        <x:v>0</x:v>
      </x:c>
      <x:c r="F11" s="47" t="n">
        <x:v>0</x:v>
      </x:c>
      <x:c r="G11" s="44" t="str">
        <x:v>https://bolets.app/bolets/amanita-virosa</x:v>
      </x:c>
      <x:c r="H11" s="44" t="str">
        <x:v>2026-09-02</x:v>
      </x:c>
    </x:row>
    <x:row r="12">
      <x:c r="A12" s="44" t="str">
        <x:v>Google Spain — Catalan</x:v>
      </x:c>
      <x:c r="B12" s="44" t="str">
        <x:v>parts d'un bolet</x:v>
      </x:c>
      <x:c r="C12" s="48" t="n">
        <x:v>4</x:v>
      </x:c>
      <x:c r="D12" s="49" t="n">
        <x:v>110</x:v>
      </x:c>
      <x:c r="E12" s="47" t="n">
        <x:v>0</x:v>
      </x:c>
      <x:c r="F12" s="47" t="n">
        <x:v>0</x:v>
      </x:c>
      <x:c r="G12" s="44" t="str">
        <x:v>https://bolets.app/bolets</x:v>
      </x:c>
      <x:c r="H12" s="44" t="str">
        <x:v>2026-09-02</x:v>
      </x:c>
    </x:row>
    <x:row r="13">
      <x:c r="A13" s="44" t="str">
        <x:v>Google Spain — Spanish</x:v>
      </x:c>
      <x:c r="B13" s="44" t="str">
        <x:v>parts d'un bolet</x:v>
      </x:c>
      <x:c r="C13" s="48" t="n">
        <x:v>4</x:v>
      </x:c>
      <x:c r="D13" s="49" t="n">
        <x:v>110</x:v>
      </x:c>
      <x:c r="E13" s="47" t="n">
        <x:v>0</x:v>
      </x:c>
      <x:c r="F13" s="47" t="n">
        <x:v>0</x:v>
      </x:c>
      <x:c r="G13" s="44" t="str">
        <x:v>https://bolets.app/bolets</x:v>
      </x:c>
      <x:c r="H13" s="44" t="str">
        <x:v>2026-09-02</x:v>
      </x:c>
    </x:row>
    <x:row r="14">
      <x:c r="A14" s="44" t="str">
        <x:v>Google Spain — Catalan</x:v>
      </x:c>
      <x:c r="B14" s="44" t="str">
        <x:v>carner bord</x:v>
      </x:c>
      <x:c r="C14" s="48" t="n">
        <x:v>4</x:v>
      </x:c>
      <x:c r="D14" s="49" t="n">
        <x:v>10</x:v>
      </x:c>
      <x:c r="E14" s="47" t="n">
        <x:v>0</x:v>
      </x:c>
      <x:c r="F14" s="47" t="n">
        <x:v>0</x:v>
      </x:c>
      <x:c r="G14" s="44" t="str">
        <x:v>https://bolets.app/compare/carlet-vs-carner-bord</x:v>
      </x:c>
      <x:c r="H14" s="44" t="str">
        <x:v>2026-09-02</x:v>
      </x:c>
    </x:row>
    <x:row r="15">
      <x:c r="A15" s="44" t="str">
        <x:v>Google Spain — Spanish</x:v>
      </x:c>
      <x:c r="B15" s="44" t="str">
        <x:v>rovelló vs pinetell</x:v>
      </x:c>
      <x:c r="C15" s="48" t="n">
        <x:v>4</x:v>
      </x:c>
      <x:c r="D15" s="49" t="n">
        <x:v>10</x:v>
      </x:c>
      <x:c r="E15" s="47" t="n">
        <x:v>0</x:v>
      </x:c>
      <x:c r="F15" s="47" t="n">
        <x:v>0</x:v>
      </x:c>
      <x:c r="G15" s="44" t="str">
        <x:v>https://bolets.app/species/lactarius-deliciosus</x:v>
      </x:c>
      <x:c r="H15" s="44" t="str">
        <x:v>2026-09-02</x:v>
      </x:c>
    </x:row>
    <x:row r="16">
      <x:c r="A16" s="44" t="str">
        <x:v>Google Mobile — Catalonia/Catalan</x:v>
      </x:c>
      <x:c r="B16" s="44" t="str">
        <x:v>carner bord</x:v>
      </x:c>
      <x:c r="C16" s="48" t="n">
        <x:v>4</x:v>
      </x:c>
      <x:c r="D16" s="49" t="n">
        <x:v>10</x:v>
      </x:c>
      <x:c r="E16" s="47" t="n">
        <x:v>0</x:v>
      </x:c>
      <x:c r="F16" s="47" t="n">
        <x:v>0</x:v>
      </x:c>
      <x:c r="G16" s="44" t="str">
        <x:v>https://bolets.app/compare/carlet-vs-carner-bord</x:v>
      </x:c>
      <x:c r="H16" s="44" t="str">
        <x:v>2026-09-02</x:v>
      </x:c>
    </x:row>
    <x:row r="17">
      <x:c r="A17" s="44" t="str">
        <x:v>Google Spain — Catalan</x:v>
      </x:c>
      <x:c r="B17" s="44" t="str">
        <x:v>farinera pudent</x:v>
      </x:c>
      <x:c r="C17" s="48" t="n">
        <x:v>4</x:v>
      </x:c>
      <x:c r="D17" s="49" t="n">
        <x:v>0</x:v>
      </x:c>
      <x:c r="E17" s="47" t="n">
        <x:v>0</x:v>
      </x:c>
      <x:c r="F17" s="47" t="n">
        <x:v>0</x:v>
      </x:c>
      <x:c r="G17" s="44" t="str">
        <x:v>https://bolets.app/bolets/amanita-virosa</x:v>
      </x:c>
      <x:c r="H17" s="44" t="str">
        <x:v>2026-09-02</x:v>
      </x:c>
    </x:row>
    <x:row r="18">
      <x:c r="A18" s="44" t="str">
        <x:v>Google Spain — Spanish</x:v>
      </x:c>
      <x:c r="B18" s="44" t="str">
        <x:v>farinera pudent</x:v>
      </x:c>
      <x:c r="C18" s="48" t="n">
        <x:v>4</x:v>
      </x:c>
      <x:c r="D18" s="49" t="n">
        <x:v>0</x:v>
      </x:c>
      <x:c r="E18" s="47" t="n">
        <x:v>0</x:v>
      </x:c>
      <x:c r="F18" s="47" t="n">
        <x:v>0</x:v>
      </x:c>
      <x:c r="G18" s="44" t="str">
        <x:v>https://bolets.app/bolets/amanita-virosa</x:v>
      </x:c>
      <x:c r="H18" s="44" t="str">
        <x:v>2026-09-02</x:v>
      </x:c>
    </x:row>
    <x:row r="19">
      <x:c r="A19" s="44" t="str">
        <x:v>Google Mobile — Catalonia/Catalan</x:v>
      </x:c>
      <x:c r="B19" s="44" t="str">
        <x:v>bolets vall d'en bas</x:v>
      </x:c>
      <x:c r="C19" s="48" t="n">
        <x:v>4</x:v>
      </x:c>
      <x:c r="D19" s="49" t="n">
        <x:v>0</x:v>
      </x:c>
      <x:c r="E19" s="47" t="n">
        <x:v>0</x:v>
      </x:c>
      <x:c r="F19" s="47" t="n">
        <x:v>0</x:v>
      </x:c>
      <x:c r="G19" s="44" t="str">
        <x:v>https://bolets.app/zones/garrotxa/vall-den-bas</x:v>
      </x:c>
      <x:c r="H19" s="44" t="str">
        <x:v>2026-09-02</x:v>
      </x:c>
    </x:row>
    <x:row r="20">
      <x:c r="A20" s="44" t="str">
        <x:v>Google Spain — Catalan</x:v>
      </x:c>
      <x:c r="B20" s="44" t="str">
        <x:v>matagent</x:v>
      </x:c>
      <x:c r="C20" s="48" t="n">
        <x:v>5</x:v>
      </x:c>
      <x:c r="D20" s="49" t="n">
        <x:v>20</x:v>
      </x:c>
      <x:c r="E20" s="47" t="n">
        <x:v>0</x:v>
      </x:c>
      <x:c r="F20" s="47" t="n">
        <x:v>0</x:v>
      </x:c>
      <x:c r="G20" s="44" t="str">
        <x:v>https://bolets.app/bolets/rubroboletus-satanas</x:v>
      </x:c>
      <x:c r="H20" s="44" t="str">
        <x:v>2026-09-02</x:v>
      </x:c>
    </x:row>
    <x:row r="21">
      <x:c r="A21" s="44" t="str">
        <x:v>Google Spain — Catalan</x:v>
      </x:c>
      <x:c r="B21" s="44" t="str">
        <x:v>bolet d'olivera</x:v>
      </x:c>
      <x:c r="C21" s="48" t="n">
        <x:v>5</x:v>
      </x:c>
      <x:c r="D21" s="49" t="n">
        <x:v>10</x:v>
      </x:c>
      <x:c r="E21" s="47" t="n">
        <x:v>0</x:v>
      </x:c>
      <x:c r="F21" s="47" t="n">
        <x:v>0</x:v>
      </x:c>
      <x:c r="G21" s="44" t="str">
        <x:v>https://bolets.app/compare/rossinyol-vs-bolet-olivera</x:v>
      </x:c>
      <x:c r="H21" s="44" t="str">
        <x:v>2026-09-02</x:v>
      </x:c>
    </x:row>
    <x:row r="22">
      <x:c r="A22" s="44" t="str">
        <x:v>Google Spain — Spanish</x:v>
      </x:c>
      <x:c r="B22" s="44" t="str">
        <x:v>carner bord</x:v>
      </x:c>
      <x:c r="C22" s="48" t="n">
        <x:v>5</x:v>
      </x:c>
      <x:c r="D22" s="49" t="n">
        <x:v>10</x:v>
      </x:c>
      <x:c r="E22" s="47" t="n">
        <x:v>0</x:v>
      </x:c>
      <x:c r="F22" s="47" t="n">
        <x:v>0</x:v>
      </x:c>
      <x:c r="G22" s="44" t="str">
        <x:v>https://bolets.app/compare/carlet-vs-carner-bord</x:v>
      </x:c>
      <x:c r="H22" s="44" t="str">
        <x:v>2026-09-02</x:v>
      </x:c>
    </x:row>
    <x:row r="23">
      <x:c r="A23" s="44" t="str">
        <x:v>Google Mobile — Catalonia/Catalan</x:v>
      </x:c>
      <x:c r="B23" s="44" t="str">
        <x:v>fals camagroc</x:v>
      </x:c>
      <x:c r="C23" s="48" t="n">
        <x:v>5</x:v>
      </x:c>
      <x:c r="D23" s="49" t="n">
        <x:v>10</x:v>
      </x:c>
      <x:c r="E23" s="47" t="n">
        <x:v>0</x:v>
      </x:c>
      <x:c r="F23" s="47" t="n">
        <x:v>0</x:v>
      </x:c>
      <x:c r="G23" s="44" t="str">
        <x:v>https://bolets.app/compare/camagroc-vs-fals-camagroc</x:v>
      </x:c>
      <x:c r="H23" s="44" t="str">
        <x:v>2026-09-02</x:v>
      </x:c>
    </x:row>
    <x:row r="24">
      <x:c r="A24" s="44" t="str">
        <x:v>Google Mobile — Catalonia/Catalan</x:v>
      </x:c>
      <x:c r="B24" s="44" t="str">
        <x:v>bolets port del comte</x:v>
      </x:c>
      <x:c r="C24" s="48" t="n">
        <x:v>5</x:v>
      </x:c>
      <x:c r="D24" s="49" t="n">
        <x:v>10</x:v>
      </x:c>
      <x:c r="E24" s="47" t="n">
        <x:v>0</x:v>
      </x:c>
      <x:c r="F24" s="47" t="n">
        <x:v>0</x:v>
      </x:c>
      <x:c r="G24" s="44" t="str">
        <x:v>https://bolets.app/zones/solsones/port-del-comte</x:v>
      </x:c>
      <x:c r="H24" s="44" t="str">
        <x:v>2026-09-02</x:v>
      </x:c>
    </x:row>
    <x:row r="25">
      <x:c r="A25" s="44" t="str">
        <x:v>Google Spain — Catalan</x:v>
      </x:c>
      <x:c r="B25" s="44" t="str">
        <x:v>fals rossinyol bolet</x:v>
      </x:c>
      <x:c r="C25" s="48" t="n">
        <x:v>6</x:v>
      </x:c>
      <x:c r="D25" s="49" t="n">
        <x:v>70</x:v>
      </x:c>
      <x:c r="E25" s="47" t="n">
        <x:v>0</x:v>
      </x:c>
      <x:c r="F25" s="47" t="n">
        <x:v>0</x:v>
      </x:c>
      <x:c r="G25" s="44" t="str">
        <x:v>https://bolets.app/compare/rossinyol-vs-bolet-olivera</x:v>
      </x:c>
      <x:c r="H25" s="44" t="str">
        <x:v>2026-09-02</x:v>
      </x:c>
    </x:row>
    <x:row r="26">
      <x:c r="A26" s="44" t="str">
        <x:v>Google Mobile — Catalonia/Catalan</x:v>
      </x:c>
      <x:c r="B26" s="44" t="str">
        <x:v>bolets prades</x:v>
      </x:c>
      <x:c r="C26" s="48" t="n">
        <x:v>6</x:v>
      </x:c>
      <x:c r="D26" s="49" t="n">
        <x:v>50</x:v>
      </x:c>
      <x:c r="E26" s="47" t="n">
        <x:v>0</x:v>
      </x:c>
      <x:c r="F26" s="47" t="n">
        <x:v>0</x:v>
      </x:c>
      <x:c r="G26" s="44" t="str">
        <x:v>https://bolets.app/zones/prades/prades/rovellons</x:v>
      </x:c>
      <x:c r="H26" s="44" t="str">
        <x:v>2026-09-02</x:v>
      </x:c>
    </x:row>
    <x:row r="27">
      <x:c r="A27" s="44" t="str">
        <x:v>Google Spain — Catalan</x:v>
      </x:c>
      <x:c r="B27" s="44" t="str">
        <x:v>pollancró</x:v>
      </x:c>
      <x:c r="C27" s="48" t="n">
        <x:v>6</x:v>
      </x:c>
      <x:c r="D27" s="49" t="n">
        <x:v>20</x:v>
      </x:c>
      <x:c r="E27" s="47" t="n">
        <x:v>0</x:v>
      </x:c>
      <x:c r="F27" s="47" t="n">
        <x:v>0</x:v>
      </x:c>
      <x:c r="G27" s="44" t="str">
        <x:v>https://bolets.app/bolets/cyclocybe-cylindracea</x:v>
      </x:c>
      <x:c r="H27" s="44" t="str">
        <x:v>2026-09-02</x:v>
      </x:c>
    </x:row>
    <x:row r="28">
      <x:c r="A28" s="44" t="str">
        <x:v>Google Spain — Catalan</x:v>
      </x:c>
      <x:c r="B28" s="44" t="str">
        <x:v>molleric de calceta</x:v>
      </x:c>
      <x:c r="C28" s="48" t="n">
        <x:v>6</x:v>
      </x:c>
      <x:c r="D28" s="49" t="n">
        <x:v>20</x:v>
      </x:c>
      <x:c r="E28" s="47" t="n">
        <x:v>0</x:v>
      </x:c>
      <x:c r="F28" s="47" t="n">
        <x:v>0</x:v>
      </x:c>
      <x:c r="G28" s="44" t="str">
        <x:v>https://bolets.app/bolets/suillus-luteus</x:v>
      </x:c>
      <x:c r="H28" s="44" t="str">
        <x:v>2026-09-02</x:v>
      </x:c>
    </x:row>
    <x:row r="29">
      <x:c r="A29" s="44" t="str">
        <x:v>Google Spain — Spanish</x:v>
      </x:c>
      <x:c r="B29" s="44" t="str">
        <x:v>cogomassa</x:v>
      </x:c>
      <x:c r="C29" s="48" t="n">
        <x:v>6</x:v>
      </x:c>
      <x:c r="D29" s="49" t="n">
        <x:v>20</x:v>
      </x:c>
      <x:c r="E29" s="47" t="n">
        <x:v>0</x:v>
      </x:c>
      <x:c r="F29" s="47" t="n">
        <x:v>0</x:v>
      </x:c>
      <x:c r="G29" s="44" t="str">
        <x:v>https://bolets.app/bolets/amanita-verna</x:v>
      </x:c>
      <x:c r="H29" s="44" t="str">
        <x:v>2026-09-02</x:v>
      </x:c>
    </x:row>
    <x:row r="30">
      <x:c r="A30" s="44" t="str">
        <x:v>Google Spain — Catalan</x:v>
      </x:c>
      <x:c r="B30" s="44" t="str">
        <x:v>rovelló vs pinetell</x:v>
      </x:c>
      <x:c r="C30" s="48" t="n">
        <x:v>6</x:v>
      </x:c>
      <x:c r="D30" s="49" t="n">
        <x:v>10</x:v>
      </x:c>
      <x:c r="E30" s="47" t="n">
        <x:v>0</x:v>
      </x:c>
      <x:c r="F30" s="47" t="n">
        <x:v>0</x:v>
      </x:c>
      <x:c r="G30" s="44" t="str">
        <x:v>https://bolets.app/species/lactarius-deliciosus</x:v>
      </x:c>
      <x:c r="H30" s="44" t="str">
        <x:v>2026-09-02</x:v>
      </x:c>
    </x:row>
    <x:row r="31">
      <x:c r="A31" s="44" t="str">
        <x:v>Google Spain — Catalan</x:v>
      </x:c>
      <x:c r="B31" s="44" t="str">
        <x:v>fals camagroc</x:v>
      </x:c>
      <x:c r="C31" s="48" t="n">
        <x:v>6</x:v>
      </x:c>
      <x:c r="D31" s="49" t="n">
        <x:v>10</x:v>
      </x:c>
      <x:c r="E31" s="47" t="n">
        <x:v>0</x:v>
      </x:c>
      <x:c r="F31" s="47" t="n">
        <x:v>0</x:v>
      </x:c>
      <x:c r="G31" s="44" t="str">
        <x:v>https://bolets.app/bolets/craterellus-tubaeformis</x:v>
      </x:c>
      <x:c r="H31" s="44" t="str">
        <x:v>2026-09-02</x:v>
      </x:c>
    </x:row>
    <x:row r="32">
      <x:c r="A32" s="44" t="str">
        <x:v>Google Spain — Spanish</x:v>
      </x:c>
      <x:c r="B32" s="44" t="str">
        <x:v>bolets rasos de peguera</x:v>
      </x:c>
      <x:c r="C32" s="48" t="n">
        <x:v>6</x:v>
      </x:c>
      <x:c r="D32" s="49" t="n">
        <x:v>10</x:v>
      </x:c>
      <x:c r="E32" s="47" t="n">
        <x:v>0</x:v>
      </x:c>
      <x:c r="F32" s="47" t="n">
        <x:v>0</x:v>
      </x:c>
      <x:c r="G32" s="44" t="str">
        <x:v>https://bolets.app/zones/bergueda/rasos-de-peguera</x:v>
      </x:c>
      <x:c r="H32" s="44" t="str">
        <x:v>2026-09-02</x:v>
      </x:c>
    </x:row>
    <x:row r="33">
      <x:c r="A33" s="44" t="str">
        <x:v>Google Mobile — Catalonia/Catalan</x:v>
      </x:c>
      <x:c r="B33" s="44" t="str">
        <x:v>pollancró</x:v>
      </x:c>
      <x:c r="C33" s="48" t="n">
        <x:v>6</x:v>
      </x:c>
      <x:c r="D33" s="49" t="n">
        <x:v>10</x:v>
      </x:c>
      <x:c r="E33" s="47" t="n">
        <x:v>0</x:v>
      </x:c>
      <x:c r="F33" s="47" t="n">
        <x:v>0</x:v>
      </x:c>
      <x:c r="G33" s="44" t="str">
        <x:v>https://bolets.app/bolets/cyclocybe-cylindracea</x:v>
      </x:c>
      <x:c r="H33" s="44" t="str">
        <x:v>2026-09-02</x:v>
      </x:c>
    </x:row>
    <x:row r="34">
      <x:c r="A34" s="44" t="str">
        <x:v>Google Mobile — Catalonia/Catalan</x:v>
      </x:c>
      <x:c r="B34" s="44" t="str">
        <x:v>cortinari metzinós</x:v>
      </x:c>
      <x:c r="C34" s="48" t="n">
        <x:v>6</x:v>
      </x:c>
      <x:c r="D34" s="49" t="n">
        <x:v>10</x:v>
      </x:c>
      <x:c r="E34" s="47" t="n">
        <x:v>0</x:v>
      </x:c>
      <x:c r="F34" s="47" t="n">
        <x:v>0</x:v>
      </x:c>
      <x:c r="G34" s="44" t="str">
        <x:v>https://bolets.app/bolets/cortinarius-orellanus</x:v>
      </x:c>
      <x:c r="H34" s="44" t="str">
        <x:v>2026-09-02</x:v>
      </x:c>
    </x:row>
    <x:row r="35">
      <x:c r="A35" s="44" t="str">
        <x:v>Google Mobile — Catalonia/Catalan</x:v>
      </x:c>
      <x:c r="B35" s="44" t="str">
        <x:v>bolets guilleries</x:v>
      </x:c>
      <x:c r="C35" s="48" t="n">
        <x:v>6</x:v>
      </x:c>
      <x:c r="D35" s="49" t="n">
        <x:v>0</x:v>
      </x:c>
      <x:c r="E35" s="47" t="n">
        <x:v>0</x:v>
      </x:c>
      <x:c r="F35" s="47" t="n">
        <x:v>0</x:v>
      </x:c>
      <x:c r="G35" s="44" t="str">
        <x:v>https://bolets.app/zones/guilleries</x:v>
      </x:c>
      <x:c r="H35" s="44" t="str">
        <x:v>2026-09-02</x:v>
      </x:c>
    </x:row>
    <x:row r="36">
      <x:c r="A36" s="44" t="str">
        <x:v>Google Spain — Spanish</x:v>
      </x:c>
      <x:c r="B36" s="44" t="str">
        <x:v>ceps catalán</x:v>
      </x:c>
      <x:c r="C36" s="48" t="n">
        <x:v>7</x:v>
      </x:c>
      <x:c r="D36" s="49" t="n">
        <x:v>40</x:v>
      </x:c>
      <x:c r="E36" s="47" t="n">
        <x:v>0</x:v>
      </x:c>
      <x:c r="F36" s="47" t="n">
        <x:v>0</x:v>
      </x:c>
      <x:c r="G36" s="44" t="str">
        <x:v>https://bolets.app/species/boletus-edulis</x:v>
      </x:c>
      <x:c r="H36" s="44" t="str">
        <x:v>2026-09-02</x:v>
      </x:c>
    </x:row>
    <x:row r="37">
      <x:c r="A37" s="44" t="str">
        <x:v>Google Spain — Catalan</x:v>
      </x:c>
      <x:c r="B37" s="44" t="str">
        <x:v>cep negre</x:v>
      </x:c>
      <x:c r="C37" s="48" t="n">
        <x:v>7</x:v>
      </x:c>
      <x:c r="D37" s="49" t="n">
        <x:v>20</x:v>
      </x:c>
      <x:c r="E37" s="47" t="n">
        <x:v>0</x:v>
      </x:c>
      <x:c r="F37" s="47" t="n">
        <x:v>0</x:v>
      </x:c>
      <x:c r="G37" s="44" t="str">
        <x:v>https://bolets.app/bolets/boletus-aereus</x:v>
      </x:c>
      <x:c r="H37" s="44" t="str">
        <x:v>2026-09-02</x:v>
      </x:c>
    </x:row>
    <x:row r="38">
      <x:c r="A38" s="44" t="str">
        <x:v>Google Spain — Catalan</x:v>
      </x:c>
      <x:c r="B38" s="44" t="str">
        <x:v>cogomassa</x:v>
      </x:c>
      <x:c r="C38" s="48" t="n">
        <x:v>7</x:v>
      </x:c>
      <x:c r="D38" s="49" t="n">
        <x:v>20</x:v>
      </x:c>
      <x:c r="E38" s="47" t="n">
        <x:v>0</x:v>
      </x:c>
      <x:c r="F38" s="47" t="n">
        <x:v>0</x:v>
      </x:c>
      <x:c r="G38" s="44" t="str">
        <x:v>https://bolets.app/bolets/amanita-verna</x:v>
      </x:c>
      <x:c r="H38" s="44" t="str">
        <x:v>2026-09-02</x:v>
      </x:c>
    </x:row>
    <x:row r="39">
      <x:c r="A39" s="44" t="str">
        <x:v>Google Spain — Catalan</x:v>
      </x:c>
      <x:c r="B39" s="44" t="str">
        <x:v>bolets sant hilari sacalm</x:v>
      </x:c>
      <x:c r="C39" s="48" t="n">
        <x:v>7</x:v>
      </x:c>
      <x:c r="D39" s="49" t="n">
        <x:v>10</x:v>
      </x:c>
      <x:c r="E39" s="47" t="n">
        <x:v>0</x:v>
      </x:c>
      <x:c r="F39" s="47" t="n">
        <x:v>0</x:v>
      </x:c>
      <x:c r="G39" s="44" t="str">
        <x:v>https://bolets.app/zones/guilleries/sant-hilari-sacalm</x:v>
      </x:c>
      <x:c r="H39" s="44" t="str">
        <x:v>2026-09-02</x:v>
      </x:c>
    </x:row>
    <x:row r="40">
      <x:c r="A40" s="44" t="str">
        <x:v>Google Spain — Spanish</x:v>
      </x:c>
      <x:c r="B40" s="44" t="str">
        <x:v>cep de pi</x:v>
      </x:c>
      <x:c r="C40" s="48" t="n">
        <x:v>7</x:v>
      </x:c>
      <x:c r="D40" s="49" t="n">
        <x:v>10</x:v>
      </x:c>
      <x:c r="E40" s="47" t="n">
        <x:v>0</x:v>
      </x:c>
      <x:c r="F40" s="47" t="n">
        <x:v>0</x:v>
      </x:c>
      <x:c r="G40" s="44" t="str">
        <x:v>https://bolets.app/species/boletus-pinophilus</x:v>
      </x:c>
      <x:c r="H40" s="44" t="str">
        <x:v>2026-09-02</x:v>
      </x:c>
    </x:row>
    <x:row r="41">
      <x:c r="A41" s="44" t="str">
        <x:v>Google Spain — Spanish</x:v>
      </x:c>
      <x:c r="B41" s="44" t="str">
        <x:v>bolets sant hilari sacalm</x:v>
      </x:c>
      <x:c r="C41" s="48" t="n">
        <x:v>7</x:v>
      </x:c>
      <x:c r="D41" s="49" t="n">
        <x:v>10</x:v>
      </x:c>
      <x:c r="E41" s="47" t="n">
        <x:v>0</x:v>
      </x:c>
      <x:c r="F41" s="47" t="n">
        <x:v>0</x:v>
      </x:c>
      <x:c r="G41" s="44" t="str">
        <x:v>https://bolets.app/zones/guilleries/sant-hilari-sacalm</x:v>
      </x:c>
      <x:c r="H41" s="44" t="str">
        <x:v>2026-09-02</x:v>
      </x:c>
    </x:row>
    <x:row r="42">
      <x:c r="A42" s="44" t="str">
        <x:v>Google Mobile — Catalonia/Catalan</x:v>
      </x:c>
      <x:c r="B42" s="44" t="str">
        <x:v>bolets sant hilari sacalm</x:v>
      </x:c>
      <x:c r="C42" s="48" t="n">
        <x:v>7</x:v>
      </x:c>
      <x:c r="D42" s="49" t="n">
        <x:v>10</x:v>
      </x:c>
      <x:c r="E42" s="47" t="n">
        <x:v>0</x:v>
      </x:c>
      <x:c r="F42" s="47" t="n">
        <x:v>0</x:v>
      </x:c>
      <x:c r="G42" s="44" t="str">
        <x:v>https://bolets.app/zones/guilleries/sant-hilari-sacalm</x:v>
      </x:c>
      <x:c r="H42" s="44" t="str">
        <x:v>2026-09-02</x:v>
      </x:c>
    </x:row>
    <x:row r="43">
      <x:c r="A43" s="44" t="str">
        <x:v>Google Spain — Spanish</x:v>
      </x:c>
      <x:c r="B43" s="44" t="str">
        <x:v>candeleta de prat</x:v>
      </x:c>
      <x:c r="C43" s="48" t="n">
        <x:v>7</x:v>
      </x:c>
      <x:c r="D43" s="49" t="n">
        <x:v>0</x:v>
      </x:c>
      <x:c r="E43" s="47" t="n">
        <x:v>0</x:v>
      </x:c>
      <x:c r="F43" s="47" t="n">
        <x:v>0</x:v>
      </x:c>
      <x:c r="G43" s="44" t="str">
        <x:v>https://bolets.app/bolets/clitocybe-rivulosa</x:v>
      </x:c>
      <x:c r="H43" s="44" t="str">
        <x:v>2026-09-02</x:v>
      </x:c>
    </x:row>
    <x:row r="44">
      <x:c r="A44" s="44" t="str">
        <x:v>Google Spain — Spanish</x:v>
      </x:c>
      <x:c r="B44" s="44" t="str">
        <x:v>bolets guilleries</x:v>
      </x:c>
      <x:c r="C44" s="48" t="n">
        <x:v>7</x:v>
      </x:c>
      <x:c r="D44" s="49" t="n">
        <x:v>0</x:v>
      </x:c>
      <x:c r="E44" s="47" t="n">
        <x:v>0</x:v>
      </x:c>
      <x:c r="F44" s="47" t="n">
        <x:v>0</x:v>
      </x:c>
      <x:c r="G44" s="44" t="str">
        <x:v>https://bolets.app/zones/guilleries/sant-hilari-sacalm</x:v>
      </x:c>
      <x:c r="H44" s="44" t="str">
        <x:v>2026-09-02</x:v>
      </x:c>
    </x:row>
    <x:row r="45">
      <x:c r="A45" s="44" t="str">
        <x:v>Google Spain — Spanish</x:v>
      </x:c>
      <x:c r="B45" s="44" t="str">
        <x:v>pinetells</x:v>
      </x:c>
      <x:c r="C45" s="48" t="n">
        <x:v>8</x:v>
      </x:c>
      <x:c r="D45" s="49" t="n">
        <x:v>90</x:v>
      </x:c>
      <x:c r="E45" s="47" t="n">
        <x:v>0</x:v>
      </x:c>
      <x:c r="F45" s="47" t="n">
        <x:v>0</x:v>
      </x:c>
      <x:c r="G45" s="44" t="str">
        <x:v>https://bolets.app/zones/bergueda/rasos-de-peguera/rovellons</x:v>
      </x:c>
      <x:c r="H45" s="44" t="str">
        <x:v>2026-09-02</x:v>
      </x:c>
    </x:row>
    <x:row r="46">
      <x:c r="A46" s="44" t="str">
        <x:v>Google Spain — Catalan</x:v>
      </x:c>
      <x:c r="B46" s="44" t="str">
        <x:v>cep d'estiu</x:v>
      </x:c>
      <x:c r="C46" s="48" t="n">
        <x:v>8</x:v>
      </x:c>
      <x:c r="D46" s="49" t="n">
        <x:v>70</x:v>
      </x:c>
      <x:c r="E46" s="47" t="n">
        <x:v>0</x:v>
      </x:c>
      <x:c r="F46" s="47" t="n">
        <x:v>0</x:v>
      </x:c>
      <x:c r="G46" s="44" t="str">
        <x:v>https://bolets.app/bolets/boletus-reticulatus</x:v>
      </x:c>
      <x:c r="H46" s="44" t="str">
        <x:v>2026-09-02</x:v>
      </x:c>
    </x:row>
    <x:row r="47">
      <x:c r="A47" s="44" t="str">
        <x:v>Google Spain — Spanish</x:v>
      </x:c>
      <x:c r="B47" s="44" t="str">
        <x:v>cep d'estiu</x:v>
      </x:c>
      <x:c r="C47" s="48" t="n">
        <x:v>8</x:v>
      </x:c>
      <x:c r="D47" s="49" t="n">
        <x:v>70</x:v>
      </x:c>
      <x:c r="E47" s="47" t="n">
        <x:v>0</x:v>
      </x:c>
      <x:c r="F47" s="47" t="n">
        <x:v>0</x:v>
      </x:c>
      <x:c r="G47" s="44" t="str">
        <x:v>https://bolets.app/bolets/boletus-reticulatus</x:v>
      </x:c>
      <x:c r="H47" s="44" t="str">
        <x:v>2026-09-02</x:v>
      </x:c>
    </x:row>
    <x:row r="48">
      <x:c r="A48" s="44" t="str">
        <x:v>Google Spain — Spanish</x:v>
      </x:c>
      <x:c r="B48" s="44" t="str">
        <x:v>app bolets de catalunya</x:v>
      </x:c>
      <x:c r="C48" s="48" t="n">
        <x:v>8</x:v>
      </x:c>
      <x:c r="D48" s="49" t="n">
        <x:v>30</x:v>
      </x:c>
      <x:c r="E48" s="47" t="n">
        <x:v>0</x:v>
      </x:c>
      <x:c r="F48" s="47" t="n">
        <x:v>0</x:v>
      </x:c>
      <x:c r="G48" s="44" t="str">
        <x:v>https://bolets.app/</x:v>
      </x:c>
      <x:c r="H48" s="44" t="str">
        <x:v>2026-09-02</x:v>
      </x:c>
    </x:row>
    <x:row r="49">
      <x:c r="A49" s="44" t="str">
        <x:v>Google Spain — Spanish</x:v>
      </x:c>
      <x:c r="B49" s="44" t="str">
        <x:v>cep negre</x:v>
      </x:c>
      <x:c r="C49" s="48" t="n">
        <x:v>8</x:v>
      </x:c>
      <x:c r="D49" s="49" t="n">
        <x:v>20</x:v>
      </x:c>
      <x:c r="E49" s="47" t="n">
        <x:v>0</x:v>
      </x:c>
      <x:c r="F49" s="47" t="n">
        <x:v>0</x:v>
      </x:c>
      <x:c r="G49" s="44" t="str">
        <x:v>https://bolets.app/bolets/boletus-aereus</x:v>
      </x:c>
      <x:c r="H49" s="44" t="str">
        <x:v>2026-09-02</x:v>
      </x:c>
    </x:row>
    <x:row r="50">
      <x:c r="A50" s="44" t="str">
        <x:v>Google Spain — Spanish</x:v>
      </x:c>
      <x:c r="B50" s="44" t="str">
        <x:v>pollancró</x:v>
      </x:c>
      <x:c r="C50" s="48" t="n">
        <x:v>8</x:v>
      </x:c>
      <x:c r="D50" s="49" t="n">
        <x:v>20</x:v>
      </x:c>
      <x:c r="E50" s="47" t="n">
        <x:v>0</x:v>
      </x:c>
      <x:c r="F50" s="47" t="n">
        <x:v>0</x:v>
      </x:c>
      <x:c r="G50" s="44" t="str">
        <x:v>https://bolets.app/bolets/cyclocybe-cylindracea</x:v>
      </x:c>
      <x:c r="H50" s="44" t="str">
        <x:v>2026-09-02</x:v>
      </x:c>
    </x:row>
    <x:row r="51">
      <x:c r="A51" s="44" t="str">
        <x:v>Google Spain — Spanish</x:v>
      </x:c>
      <x:c r="B51" s="44" t="str">
        <x:v>matagent</x:v>
      </x:c>
      <x:c r="C51" s="48" t="n">
        <x:v>8</x:v>
      </x:c>
      <x:c r="D51" s="49" t="n">
        <x:v>20</x:v>
      </x:c>
      <x:c r="E51" s="47" t="n">
        <x:v>0</x:v>
      </x:c>
      <x:c r="F51" s="47" t="n">
        <x:v>0</x:v>
      </x:c>
      <x:c r="G51" s="44" t="str">
        <x:v>https://bolets.app/bolets/rubroboletus-satanas</x:v>
      </x:c>
      <x:c r="H51" s="44" t="str">
        <x:v>2026-09-02</x:v>
      </x:c>
    </x:row>
    <x:row r="52">
      <x:c r="A52" s="44" t="str">
        <x:v>Google Spain — Catalan</x:v>
      </x:c>
      <x:c r="B52" s="44" t="str">
        <x:v>cep de pi</x:v>
      </x:c>
      <x:c r="C52" s="48" t="n">
        <x:v>8</x:v>
      </x:c>
      <x:c r="D52" s="49" t="n">
        <x:v>10</x:v>
      </x:c>
      <x:c r="E52" s="47" t="n">
        <x:v>0</x:v>
      </x:c>
      <x:c r="F52" s="47" t="n">
        <x:v>0</x:v>
      </x:c>
      <x:c r="G52" s="44" t="str">
        <x:v>https://bolets.app/species/boletus-pinophilus</x:v>
      </x:c>
      <x:c r="H52" s="44" t="str">
        <x:v>2026-09-02</x:v>
      </x:c>
    </x:row>
    <x:row r="53">
      <x:c r="A53" s="44" t="str">
        <x:v>Google Spain — Catalan</x:v>
      </x:c>
      <x:c r="B53" s="44" t="str">
        <x:v>bolets port del comte</x:v>
      </x:c>
      <x:c r="C53" s="48" t="n">
        <x:v>8</x:v>
      </x:c>
      <x:c r="D53" s="49" t="n">
        <x:v>10</x:v>
      </x:c>
      <x:c r="E53" s="47" t="n">
        <x:v>0</x:v>
      </x:c>
      <x:c r="F53" s="47" t="n">
        <x:v>0</x:v>
      </x:c>
      <x:c r="G53" s="44" t="str">
        <x:v>https://bolets.app/zones/solsones/port-del-comte/ceps</x:v>
      </x:c>
      <x:c r="H53" s="44" t="str">
        <x:v>2026-09-02</x:v>
      </x:c>
    </x:row>
    <x:row r="54">
      <x:c r="A54" s="44" t="str">
        <x:v>Google Spain — Catalan</x:v>
      </x:c>
      <x:c r="B54" s="44" t="str">
        <x:v>bolets rasos de peguera</x:v>
      </x:c>
      <x:c r="C54" s="48" t="n">
        <x:v>8</x:v>
      </x:c>
      <x:c r="D54" s="49" t="n">
        <x:v>10</x:v>
      </x:c>
      <x:c r="E54" s="47" t="n">
        <x:v>0</x:v>
      </x:c>
      <x:c r="F54" s="47" t="n">
        <x:v>0</x:v>
      </x:c>
      <x:c r="G54" s="44" t="str">
        <x:v>https://bolets.app/zones/bergueda/rasos-de-peguera</x:v>
      </x:c>
      <x:c r="H54" s="44" t="str">
        <x:v>2026-09-02</x:v>
      </x:c>
    </x:row>
    <x:row r="55">
      <x:c r="A55" s="44" t="str">
        <x:v>Google Mobile — Catalonia/Catalan</x:v>
      </x:c>
      <x:c r="B55" s="44" t="str">
        <x:v>mapa bolets Catalunya</x:v>
      </x:c>
      <x:c r="C55" s="48" t="n">
        <x:v>9</x:v>
      </x:c>
      <x:c r="D55" s="49" t="n">
        <x:v>140</x:v>
      </x:c>
      <x:c r="E55" s="47" t="n">
        <x:v>0</x:v>
      </x:c>
      <x:c r="F55" s="47" t="n">
        <x:v>0</x:v>
      </x:c>
      <x:c r="G55" s="44" t="str">
        <x:v>https://bolets.app/</x:v>
      </x:c>
      <x:c r="H55" s="44" t="str">
        <x:v>2026-09-02</x:v>
      </x:c>
    </x:row>
    <x:row r="56">
      <x:c r="A56" s="44" t="str">
        <x:v>Google Mobile — Catalonia/Catalan</x:v>
      </x:c>
      <x:c r="B56" s="44" t="str">
        <x:v>llora verda</x:v>
      </x:c>
      <x:c r="C56" s="48" t="n">
        <x:v>9</x:v>
      </x:c>
      <x:c r="D56" s="49" t="n">
        <x:v>70</x:v>
      </x:c>
      <x:c r="E56" s="47" t="n">
        <x:v>0</x:v>
      </x:c>
      <x:c r="F56" s="47" t="n">
        <x:v>0</x:v>
      </x:c>
      <x:c r="G56" s="44" t="str">
        <x:v>https://bolets.app/bolets/russula-virescens</x:v>
      </x:c>
      <x:c r="H56" s="44" t="str">
        <x:v>2026-09-02</x:v>
      </x:c>
    </x:row>
    <x:row r="57">
      <x:c r="A57" s="44" t="str">
        <x:v>Google Spain — Catalan</x:v>
      </x:c>
      <x:c r="B57" s="44" t="str">
        <x:v>bolets verinosos de Catalunya</x:v>
      </x:c>
      <x:c r="C57" s="48" t="n">
        <x:v>9</x:v>
      </x:c>
      <x:c r="D57" s="49" t="n">
        <x:v>50</x:v>
      </x:c>
      <x:c r="E57" s="47" t="n">
        <x:v>0</x:v>
      </x:c>
      <x:c r="F57" s="47" t="n">
        <x:v>0</x:v>
      </x:c>
      <x:c r="G57" s="44" t="str">
        <x:v>https://bolets.app/bolets-verinosos</x:v>
      </x:c>
      <x:c r="H57" s="44" t="str">
        <x:v>2026-09-02</x:v>
      </x:c>
    </x:row>
    <x:row r="58">
      <x:c r="A58" s="44" t="str">
        <x:v>Google Spain — Spanish</x:v>
      </x:c>
      <x:c r="B58" s="44" t="str">
        <x:v>bolets verinosos de Catalunya</x:v>
      </x:c>
      <x:c r="C58" s="48" t="n">
        <x:v>9</x:v>
      </x:c>
      <x:c r="D58" s="49" t="n">
        <x:v>50</x:v>
      </x:c>
      <x:c r="E58" s="47" t="n">
        <x:v>0</x:v>
      </x:c>
      <x:c r="F58" s="47" t="n">
        <x:v>0</x:v>
      </x:c>
      <x:c r="G58" s="44" t="str">
        <x:v>https://bolets.app/bolets-verinosos</x:v>
      </x:c>
      <x:c r="H58" s="44" t="str">
        <x:v>2026-09-02</x:v>
      </x:c>
    </x:row>
    <x:row r="59">
      <x:c r="A59" s="44" t="str">
        <x:v>Google Spain — Catalan</x:v>
      </x:c>
      <x:c r="B59" s="44" t="str">
        <x:v>fals cep</x:v>
      </x:c>
      <x:c r="C59" s="48" t="n">
        <x:v>9</x:v>
      </x:c>
      <x:c r="D59" s="49" t="n">
        <x:v>20</x:v>
      </x:c>
      <x:c r="E59" s="47" t="n">
        <x:v>0</x:v>
      </x:c>
      <x:c r="F59" s="47" t="n">
        <x:v>0</x:v>
      </x:c>
      <x:c r="G59" s="44" t="str">
        <x:v>https://bolets.app/compare/cep-vs-cep-estiu</x:v>
      </x:c>
      <x:c r="H59" s="44" t="str">
        <x:v>2026-09-02</x:v>
      </x:c>
    </x:row>
    <x:row r="60">
      <x:c r="A60" s="44" t="str">
        <x:v>Google Spain — Spanish</x:v>
      </x:c>
      <x:c r="B60" s="44" t="str">
        <x:v>molleric de calceta</x:v>
      </x:c>
      <x:c r="C60" s="48" t="n">
        <x:v>9</x:v>
      </x:c>
      <x:c r="D60" s="49" t="n">
        <x:v>20</x:v>
      </x:c>
      <x:c r="E60" s="47" t="n">
        <x:v>0</x:v>
      </x:c>
      <x:c r="F60" s="47" t="n">
        <x:v>0</x:v>
      </x:c>
      <x:c r="G60" s="44" t="str">
        <x:v>https://bolets.app/bolets/suillus-luteus</x:v>
      </x:c>
      <x:c r="H60" s="44" t="str">
        <x:v>2026-09-02</x:v>
      </x:c>
    </x:row>
    <x:row r="61">
      <x:c r="A61" s="44" t="str">
        <x:v>Google Spain — Spanish</x:v>
      </x:c>
      <x:c r="B61" s="44" t="str">
        <x:v>fals camagroc</x:v>
      </x:c>
      <x:c r="C61" s="48" t="n">
        <x:v>9</x:v>
      </x:c>
      <x:c r="D61" s="49" t="n">
        <x:v>10</x:v>
      </x:c>
      <x:c r="E61" s="47" t="n">
        <x:v>0</x:v>
      </x:c>
      <x:c r="F61" s="47" t="n">
        <x:v>0</x:v>
      </x:c>
      <x:c r="G61" s="44" t="str">
        <x:v>https://bolets.app/bolets/craterellus-tubaeformis</x:v>
      </x:c>
      <x:c r="H61" s="44" t="str">
        <x:v>2026-09-02</x:v>
      </x:c>
    </x:row>
    <x:row r="62">
      <x:c r="A62" s="44" t="str">
        <x:v>Google Spain — Catalan</x:v>
      </x:c>
      <x:c r="B62" s="44" t="str">
        <x:v>bolets vall d'en bas</x:v>
      </x:c>
      <x:c r="C62" s="48" t="n">
        <x:v>9</x:v>
      </x:c>
      <x:c r="D62" s="49" t="n">
        <x:v>0</x:v>
      </x:c>
      <x:c r="E62" s="47" t="n">
        <x:v>0</x:v>
      </x:c>
      <x:c r="F62" s="47" t="n">
        <x:v>0</x:v>
      </x:c>
      <x:c r="G62" s="44" t="str">
        <x:v>https://bolets.app/zones/garrotxa/vall-den-bas</x:v>
      </x:c>
      <x:c r="H62" s="44" t="str">
        <x:v>2026-09-02</x:v>
      </x:c>
    </x:row>
    <x:row r="63">
      <x:c r="A63" s="44" t="str">
        <x:v>Google Spain — Spanish</x:v>
      </x:c>
      <x:c r="B63" s="44" t="str">
        <x:v>fals rossinyol bolet</x:v>
      </x:c>
      <x:c r="C63" s="48" t="n">
        <x:v>10</x:v>
      </x:c>
      <x:c r="D63" s="49" t="n">
        <x:v>70</x:v>
      </x:c>
      <x:c r="E63" s="47" t="n">
        <x:v>0</x:v>
      </x:c>
      <x:c r="F63" s="47" t="n">
        <x:v>0</x:v>
      </x:c>
      <x:c r="G63" s="44" t="str">
        <x:v>https://bolets.app/compare/rossinyol-vs-bolet-olivera</x:v>
      </x:c>
      <x:c r="H63" s="44" t="str">
        <x:v>2026-09-02</x:v>
      </x:c>
    </x:row>
    <x:row r="64">
      <x:c r="A64" s="44" t="str">
        <x:v>Google Mobile — Catalonia/Catalan</x:v>
      </x:c>
      <x:c r="B64" s="44" t="str">
        <x:v>bolet de greix</x:v>
      </x:c>
      <x:c r="C64" s="48" t="n">
        <x:v>10</x:v>
      </x:c>
      <x:c r="D64" s="49" t="n">
        <x:v>50</x:v>
      </x:c>
      <x:c r="E64" s="47" t="n">
        <x:v>0.07</x:v>
      </x:c>
      <x:c r="F64" s="47" t="n">
        <x:v>0</x:v>
      </x:c>
      <x:c r="G64" s="44" t="str">
        <x:v>https://bolets.app/bolets/gyromitra-esculenta</x:v>
      </x:c>
      <x:c r="H64" s="44" t="str">
        <x:v>2026-09-02</x:v>
      </x:c>
    </x:row>
    <x:row r="65">
      <x:c r="A65" s="44" t="str">
        <x:v>Google Spain — Spanish</x:v>
      </x:c>
      <x:c r="B65" s="44" t="str">
        <x:v>pixacà</x:v>
      </x:c>
      <x:c r="C65" s="48" t="n">
        <x:v>10</x:v>
      </x:c>
      <x:c r="D65" s="49" t="n">
        <x:v>40</x:v>
      </x:c>
      <x:c r="E65" s="47" t="n">
        <x:v>0</x:v>
      </x:c>
      <x:c r="F65" s="47" t="n">
        <x:v>0</x:v>
      </x:c>
      <x:c r="G65" s="44" t="str">
        <x:v>https://bolets.app/bolets/amanita-pantherina</x:v>
      </x:c>
      <x:c r="H65" s="44" t="str">
        <x:v>2026-09-02</x:v>
      </x:c>
    </x:row>
    <x:row r="66">
      <x:c r="A66" s="44" t="str">
        <x:v>Google Spain — Catalan</x:v>
      </x:c>
      <x:c r="B66" s="44" t="str">
        <x:v>app bolets de catalunya</x:v>
      </x:c>
      <x:c r="C66" s="48" t="n">
        <x:v>10</x:v>
      </x:c>
      <x:c r="D66" s="49" t="n">
        <x:v>30</x:v>
      </x:c>
      <x:c r="E66" s="47" t="n">
        <x:v>0</x:v>
      </x:c>
      <x:c r="F66" s="47" t="n">
        <x:v>0</x:v>
      </x:c>
      <x:c r="G66" s="44" t="str">
        <x:v>https://bolets.app/</x:v>
      </x:c>
      <x:c r="H66" s="44" t="str">
        <x:v>2026-09-02</x:v>
      </x:c>
    </x:row>
    <x:row r="67">
      <x:c r="A67" s="44" t="str">
        <x:v>Google Spain — Catalan</x:v>
      </x:c>
      <x:c r="B67" s="44" t="str">
        <x:v>rovellons prades</x:v>
      </x:c>
      <x:c r="C67" s="48" t="n">
        <x:v>10</x:v>
      </x:c>
      <x:c r="D67" s="49" t="n">
        <x:v>10</x:v>
      </x:c>
      <x:c r="E67" s="47" t="n">
        <x:v>0</x:v>
      </x:c>
      <x:c r="F67" s="47" t="n">
        <x:v>0</x:v>
      </x:c>
      <x:c r="G67" s="44" t="str">
        <x:v>https://bolets.app/zones/prades/prades/pinetells</x:v>
      </x:c>
      <x:c r="H67" s="44" t="str">
        <x:v>2026-09-02</x:v>
      </x:c>
    </x:row>
    <x:row r="68">
      <x:c r="A68" s="44" t="str">
        <x:v>Google Mobile — Catalonia/Catalan</x:v>
      </x:c>
      <x:c r="B68" s="44" t="str">
        <x:v>bolets montnegre</x:v>
      </x:c>
      <x:c r="C68" s="48" t="n">
        <x:v>10</x:v>
      </x:c>
      <x:c r="D68" s="49" t="n">
        <x:v>10</x:v>
      </x:c>
      <x:c r="E68" s="47" t="n">
        <x:v>0</x:v>
      </x:c>
      <x:c r="F68" s="47" t="n">
        <x:v>0</x:v>
      </x:c>
      <x:c r="G68" s="44" t="str">
        <x:v>https://bolets.app/zones/montnegre-corredor</x:v>
      </x:c>
      <x:c r="H68" s="44" t="str">
        <x:v>2026-09-02</x:v>
      </x:c>
    </x:row>
    <x:row r="69">
      <x:c r="A69" s="44" t="str">
        <x:v>Google Mobile — Catalonia/Catalan</x:v>
      </x:c>
      <x:c r="B69" s="44" t="str">
        <x:v>matagent</x:v>
      </x:c>
      <x:c r="C69" s="48" t="n">
        <x:v>10</x:v>
      </x:c>
      <x:c r="D69" s="49" t="n">
        <x:v>10</x:v>
      </x:c>
      <x:c r="E69" s="47" t="n">
        <x:v>0</x:v>
      </x:c>
      <x:c r="F69" s="47" t="n">
        <x:v>0</x:v>
      </x:c>
      <x:c r="G69" s="44" t="str">
        <x:v>https://bolets.app/bolets/rubroboletus-satanas</x:v>
      </x:c>
      <x:c r="H69" s="44" t="str">
        <x:v>2026-09-02</x:v>
      </x:c>
    </x:row>
    <x:row r="70">
      <x:c r="A70" s="44" t="str">
        <x:v>Google Mobile — Catalonia/Catalan</x:v>
      </x:c>
      <x:c r="B70" s="44" t="str">
        <x:v>bolets solsonès</x:v>
      </x:c>
      <x:c r="C70" s="48" t="n">
        <x:v>10</x:v>
      </x:c>
      <x:c r="D70" s="49" t="n">
        <x:v>0</x:v>
      </x:c>
      <x:c r="E70" s="47" t="n">
        <x:v>0</x:v>
      </x:c>
      <x:c r="F70" s="47" t="n">
        <x:v>0</x:v>
      </x:c>
      <x:c r="G70" s="44" t="str">
        <x:v>https://bolets.app/zones/solsones</x:v>
      </x:c>
      <x:c r="H70" s="44" t="str">
        <x:v>2026-09-02</x:v>
      </x:c>
    </x:row>
    <x:row r="71">
      <x:c r="A71" s="44" t="str">
        <x:v>Google Spain — Catalan</x:v>
      </x:c>
      <x:c r="B71" s="44" t="str">
        <x:v>bolets venenosos</x:v>
      </x:c>
      <x:c r="C71" s="46" t="n">
        <x:v>11</x:v>
      </x:c>
      <x:c r="D71" s="49" t="n">
        <x:v>40</x:v>
      </x:c>
      <x:c r="E71" s="47" t="n">
        <x:v>0</x:v>
      </x:c>
      <x:c r="F71" s="47" t="n">
        <x:v>0</x:v>
      </x:c>
      <x:c r="G71" s="44" t="str">
        <x:v>https://bolets.app/bolets-verinosos</x:v>
      </x:c>
      <x:c r="H71" s="44" t="str">
        <x:v>2026-09-02</x:v>
      </x:c>
    </x:row>
    <x:row r="72">
      <x:c r="A72" s="44" t="str">
        <x:v>Google Spain — Spanish</x:v>
      </x:c>
      <x:c r="B72" s="44" t="str">
        <x:v>bolets vall d'en bas</x:v>
      </x:c>
      <x:c r="C72" s="46" t="n">
        <x:v>11</x:v>
      </x:c>
      <x:c r="D72" s="49" t="n">
        <x:v>0</x:v>
      </x:c>
      <x:c r="E72" s="47" t="n">
        <x:v>0</x:v>
      </x:c>
      <x:c r="F72" s="47" t="n">
        <x:v>0</x:v>
      </x:c>
      <x:c r="G72" s="44" t="str">
        <x:v>https://bolets.app/zones/garrotxa/vall-den-bas/camagrocs</x:v>
      </x:c>
      <x:c r="H72" s="44" t="str">
        <x:v>2026-09-02</x:v>
      </x:c>
    </x:row>
    <x:row r="73">
      <x:c r="A73" s="44" t="str">
        <x:v>Google Mobile — Catalonia/Catalan</x:v>
      </x:c>
      <x:c r="B73" s="44" t="str">
        <x:v>ou de reig en castellano</x:v>
      </x:c>
      <x:c r="C73" s="46" t="n">
        <x:v>12</x:v>
      </x:c>
      <x:c r="D73" s="49" t="n">
        <x:v>90</x:v>
      </x:c>
      <x:c r="E73" s="47" t="n">
        <x:v>0</x:v>
      </x:c>
      <x:c r="F73" s="47" t="n">
        <x:v>0</x:v>
      </x:c>
      <x:c r="G73" s="44" t="str">
        <x:v>https://bolets.app/bolets/amanita-caesarea</x:v>
      </x:c>
      <x:c r="H73" s="44" t="str">
        <x:v>2026-09-02</x:v>
      </x:c>
    </x:row>
    <x:row r="74">
      <x:c r="A74" s="44" t="str">
        <x:v>Google Spain — Catalan</x:v>
      </x:c>
      <x:c r="B74" s="44" t="str">
        <x:v>cortinari metzinós</x:v>
      </x:c>
      <x:c r="C74" s="46" t="n">
        <x:v>12</x:v>
      </x:c>
      <x:c r="D74" s="49" t="n">
        <x:v>10</x:v>
      </x:c>
      <x:c r="E74" s="47" t="n">
        <x:v>0</x:v>
      </x:c>
      <x:c r="F74" s="47" t="n">
        <x:v>0</x:v>
      </x:c>
      <x:c r="G74" s="44" t="str">
        <x:v>https://bolets.app/bolets/cortinarius-rubellus</x:v>
      </x:c>
      <x:c r="H74" s="44" t="str">
        <x:v>2026-09-02</x:v>
      </x:c>
    </x:row>
    <x:row r="75">
      <x:c r="A75" s="44" t="str">
        <x:v>Google Spain — Spanish</x:v>
      </x:c>
      <x:c r="B75" s="44" t="str">
        <x:v>bolet d'olivera</x:v>
      </x:c>
      <x:c r="C75" s="46" t="n">
        <x:v>12</x:v>
      </x:c>
      <x:c r="D75" s="49" t="n">
        <x:v>10</x:v>
      </x:c>
      <x:c r="E75" s="47" t="n">
        <x:v>0</x:v>
      </x:c>
      <x:c r="F75" s="47" t="n">
        <x:v>0</x:v>
      </x:c>
      <x:c r="G75" s="44" t="str">
        <x:v>https://bolets.app/compare/rossinyol-vs-bolet-olivera</x:v>
      </x:c>
      <x:c r="H75" s="44" t="str">
        <x:v>2026-09-02</x:v>
      </x:c>
    </x:row>
    <x:row r="76">
      <x:c r="A76" s="44" t="str">
        <x:v>Google Spain — Spanish</x:v>
      </x:c>
      <x:c r="B76" s="44" t="str">
        <x:v>bolets port del comte</x:v>
      </x:c>
      <x:c r="C76" s="46" t="n">
        <x:v>12</x:v>
      </x:c>
      <x:c r="D76" s="49" t="n">
        <x:v>10</x:v>
      </x:c>
      <x:c r="E76" s="47" t="n">
        <x:v>0</x:v>
      </x:c>
      <x:c r="F76" s="47" t="n">
        <x:v>0</x:v>
      </x:c>
      <x:c r="G76" s="44" t="str">
        <x:v>https://bolets.app/zones/solsones/port-del-comte/ceps</x:v>
      </x:c>
      <x:c r="H76" s="44" t="str">
        <x:v>2026-09-02</x:v>
      </x:c>
    </x:row>
    <x:row r="77">
      <x:c r="A77" s="44" t="str">
        <x:v>Google Spain — Spanish</x:v>
      </x:c>
      <x:c r="B77" s="44" t="str">
        <x:v>rovellons prades</x:v>
      </x:c>
      <x:c r="C77" s="46" t="n">
        <x:v>12</x:v>
      </x:c>
      <x:c r="D77" s="49" t="n">
        <x:v>10</x:v>
      </x:c>
      <x:c r="E77" s="47" t="n">
        <x:v>0</x:v>
      </x:c>
      <x:c r="F77" s="47" t="n">
        <x:v>0</x:v>
      </x:c>
      <x:c r="G77" s="44" t="str">
        <x:v>https://bolets.app/zones/prades/prades/pinetells</x:v>
      </x:c>
      <x:c r="H77" s="44" t="str">
        <x:v>2026-09-02</x:v>
      </x:c>
    </x:row>
    <x:row r="78">
      <x:c r="A78" s="44" t="str">
        <x:v>Google Mobile — Catalonia/Catalan</x:v>
      </x:c>
      <x:c r="B78" s="44" t="str">
        <x:v>bolets muntanyes de prades</x:v>
      </x:c>
      <x:c r="C78" s="46" t="n">
        <x:v>12</x:v>
      </x:c>
      <x:c r="D78" s="49" t="n">
        <x:v>10</x:v>
      </x:c>
      <x:c r="E78" s="47" t="n">
        <x:v>0</x:v>
      </x:c>
      <x:c r="F78" s="47" t="n">
        <x:v>0</x:v>
      </x:c>
      <x:c r="G78" s="44" t="str">
        <x:v>https://bolets.app/zones/prades/prades</x:v>
      </x:c>
      <x:c r="H78" s="44" t="str">
        <x:v>2026-09-02</x:v>
      </x:c>
    </x:row>
    <x:row r="79">
      <x:c r="A79" s="44" t="str">
        <x:v>Google Mobile — Catalonia/Catalan</x:v>
      </x:c>
      <x:c r="B79" s="44" t="str">
        <x:v>bolets rasos de peguera</x:v>
      </x:c>
      <x:c r="C79" s="46" t="n">
        <x:v>12</x:v>
      </x:c>
      <x:c r="D79" s="49" t="n">
        <x:v>10</x:v>
      </x:c>
      <x:c r="E79" s="47" t="n">
        <x:v>0</x:v>
      </x:c>
      <x:c r="F79" s="47" t="n">
        <x:v>0</x:v>
      </x:c>
      <x:c r="G79" s="44" t="str">
        <x:v>https://bolets.app/zones/bergueda/rasos-de-peguera</x:v>
      </x:c>
      <x:c r="H79" s="44" t="str">
        <x:v>2026-09-02</x:v>
      </x:c>
    </x:row>
    <x:row r="80">
      <x:c r="A80" s="44" t="str">
        <x:v>Google Mobile — Catalonia/Catalan</x:v>
      </x:c>
      <x:c r="B80" s="44" t="str">
        <x:v>bolets de tinta</x:v>
      </x:c>
      <x:c r="C80" s="46" t="n">
        <x:v>13</x:v>
      </x:c>
      <x:c r="D80" s="49" t="n">
        <x:v>170</x:v>
      </x:c>
      <x:c r="E80" s="47" t="n">
        <x:v>0.01</x:v>
      </x:c>
      <x:c r="F80" s="47" t="n">
        <x:v>0</x:v>
      </x:c>
      <x:c r="G80" s="44" t="str">
        <x:v>https://bolets.app/bolets/coprinus-comatus</x:v>
      </x:c>
      <x:c r="H80" s="44" t="str">
        <x:v>2026-09-02</x:v>
      </x:c>
    </x:row>
    <x:row r="81">
      <x:c r="A81" s="44" t="str">
        <x:v>Google Spain — Catalan</x:v>
      </x:c>
      <x:c r="B81" s="44" t="str">
        <x:v>bolets verinosos</x:v>
      </x:c>
      <x:c r="C81" s="46" t="n">
        <x:v>13</x:v>
      </x:c>
      <x:c r="D81" s="49" t="n">
        <x:v>140</x:v>
      </x:c>
      <x:c r="E81" s="47" t="n">
        <x:v>0</x:v>
      </x:c>
      <x:c r="F81" s="47" t="n">
        <x:v>0</x:v>
      </x:c>
      <x:c r="G81" s="44" t="str">
        <x:v>https://bolets.app/bolets-verinosos</x:v>
      </x:c>
      <x:c r="H81" s="44" t="str">
        <x:v>2026-09-02</x:v>
      </x:c>
    </x:row>
    <x:row r="82">
      <x:c r="A82" s="44" t="str">
        <x:v>Google Mobile — Catalonia/Catalan</x:v>
      </x:c>
      <x:c r="B82" s="44" t="str">
        <x:v>pixacà</x:v>
      </x:c>
      <x:c r="C82" s="46" t="n">
        <x:v>13</x:v>
      </x:c>
      <x:c r="D82" s="49" t="n">
        <x:v>20</x:v>
      </x:c>
      <x:c r="E82" s="47" t="n">
        <x:v>0</x:v>
      </x:c>
      <x:c r="F82" s="47" t="n">
        <x:v>0</x:v>
      </x:c>
      <x:c r="G82" s="44" t="str">
        <x:v>https://bolets.app/bolets/amanita-pantherina</x:v>
      </x:c>
      <x:c r="H82" s="44" t="str">
        <x:v>2026-09-02</x:v>
      </x:c>
    </x:row>
    <x:row r="83">
      <x:c r="A83" s="44" t="str">
        <x:v>Google Spain — Catalan</x:v>
      </x:c>
      <x:c r="B83" s="44" t="str">
        <x:v>temporada de bolets Catalunya</x:v>
      </x:c>
      <x:c r="C83" s="46" t="n">
        <x:v>13</x:v>
      </x:c>
      <x:c r="D83" s="49" t="n">
        <x:v>0</x:v>
      </x:c>
      <x:c r="E83" s="47" t="n">
        <x:v>0</x:v>
      </x:c>
      <x:c r="F83" s="47" t="n">
        <x:v>0</x:v>
      </x:c>
      <x:c r="G83" s="44" t="str">
        <x:v>https://bolets.app/</x:v>
      </x:c>
      <x:c r="H83" s="44" t="str">
        <x:v>2026-09-02</x:v>
      </x:c>
    </x:row>
    <x:row r="84">
      <x:c r="A84" s="44" t="str">
        <x:v>Google Spain — Catalan</x:v>
      </x:c>
      <x:c r="B84" s="44" t="str">
        <x:v>mapa bolets catalunya 2026</x:v>
      </x:c>
      <x:c r="C84" s="46" t="n">
        <x:v>13</x:v>
      </x:c>
      <x:c r="D84" s="49" t="n">
        <x:v>0</x:v>
      </x:c>
      <x:c r="E84" s="47" t="n">
        <x:v>0</x:v>
      </x:c>
      <x:c r="F84" s="47" t="n">
        <x:v>0</x:v>
      </x:c>
      <x:c r="G84" s="44" t="str">
        <x:v>https://bolets.app/zones</x:v>
      </x:c>
      <x:c r="H84" s="44" t="str">
        <x:v>2026-09-02</x:v>
      </x:c>
    </x:row>
    <x:row r="85">
      <x:c r="A85" s="44" t="str">
        <x:v>Google Spain — Spanish</x:v>
      </x:c>
      <x:c r="B85" s="44" t="str">
        <x:v>bolets verinosos</x:v>
      </x:c>
      <x:c r="C85" s="46" t="n">
        <x:v>14</x:v>
      </x:c>
      <x:c r="D85" s="49" t="n">
        <x:v>140</x:v>
      </x:c>
      <x:c r="E85" s="47" t="n">
        <x:v>0</x:v>
      </x:c>
      <x:c r="F85" s="47" t="n">
        <x:v>0</x:v>
      </x:c>
      <x:c r="G85" s="44" t="str">
        <x:v>https://bolets.app/bolets-verinosos</x:v>
      </x:c>
      <x:c r="H85" s="44" t="str">
        <x:v>2026-09-02</x:v>
      </x:c>
    </x:row>
    <x:row r="86">
      <x:c r="A86" s="44" t="str">
        <x:v>Google Spain — Catalan</x:v>
      </x:c>
      <x:c r="B86" s="44" t="str">
        <x:v>pinetells</x:v>
      </x:c>
      <x:c r="C86" s="46" t="n">
        <x:v>14</x:v>
      </x:c>
      <x:c r="D86" s="49" t="n">
        <x:v>90</x:v>
      </x:c>
      <x:c r="E86" s="47" t="n">
        <x:v>0</x:v>
      </x:c>
      <x:c r="F86" s="47" t="n">
        <x:v>0</x:v>
      </x:c>
      <x:c r="G86" s="44" t="str">
        <x:v>https://bolets.app/zones/bergueda/rasos-de-peguera/rovellons</x:v>
      </x:c>
      <x:c r="H86" s="44" t="str">
        <x:v>2026-09-02</x:v>
      </x:c>
    </x:row>
    <x:row r="87">
      <x:c r="A87" s="44" t="str">
        <x:v>Google Spain — Catalan</x:v>
      </x:c>
      <x:c r="B87" s="44" t="str">
        <x:v>pixacà</x:v>
      </x:c>
      <x:c r="C87" s="46" t="n">
        <x:v>14</x:v>
      </x:c>
      <x:c r="D87" s="49" t="n">
        <x:v>40</x:v>
      </x:c>
      <x:c r="E87" s="47" t="n">
        <x:v>0</x:v>
      </x:c>
      <x:c r="F87" s="47" t="n">
        <x:v>0</x:v>
      </x:c>
      <x:c r="G87" s="44" t="str">
        <x:v>https://bolets.app/bolets/amanita-pantherina</x:v>
      </x:c>
      <x:c r="H87" s="44" t="str">
        <x:v>2026-09-02</x:v>
      </x:c>
    </x:row>
    <x:row r="88">
      <x:c r="A88" s="44" t="str">
        <x:v>Google Spain — Catalan</x:v>
      </x:c>
      <x:c r="B88" s="44" t="str">
        <x:v>bolets muntanyes de prades</x:v>
      </x:c>
      <x:c r="C88" s="46" t="n">
        <x:v>14</x:v>
      </x:c>
      <x:c r="D88" s="49" t="n">
        <x:v>10</x:v>
      </x:c>
      <x:c r="E88" s="47" t="n">
        <x:v>0</x:v>
      </x:c>
      <x:c r="F88" s="47" t="n">
        <x:v>0</x:v>
      </x:c>
      <x:c r="G88" s="44" t="str">
        <x:v>https://bolets.app/zones/prades</x:v>
      </x:c>
      <x:c r="H88" s="44" t="str">
        <x:v>2026-09-02</x:v>
      </x:c>
    </x:row>
    <x:row r="89">
      <x:c r="A89" s="44" t="str">
        <x:v>Google Mobile — Catalonia/Catalan</x:v>
      </x:c>
      <x:c r="B89" s="44" t="str">
        <x:v>bolets bosc de poblet</x:v>
      </x:c>
      <x:c r="C89" s="46" t="n">
        <x:v>14</x:v>
      </x:c>
      <x:c r="D89" s="49" t="n">
        <x:v>0</x:v>
      </x:c>
      <x:c r="E89" s="47" t="n">
        <x:v>0</x:v>
      </x:c>
      <x:c r="F89" s="47" t="n">
        <x:v>0</x:v>
      </x:c>
      <x:c r="G89" s="44" t="str">
        <x:v>https://bolets.app/zones/prades/bosc-de-poblet</x:v>
      </x:c>
      <x:c r="H89" s="44" t="str">
        <x:v>2026-09-02</x:v>
      </x:c>
    </x:row>
    <x:row r="90">
      <x:c r="A90" s="44" t="str">
        <x:v>Google Spain — Spanish</x:v>
      </x:c>
      <x:c r="B90" s="44" t="str">
        <x:v>bolets prades</x:v>
      </x:c>
      <x:c r="C90" s="46" t="n">
        <x:v>15</x:v>
      </x:c>
      <x:c r="D90" s="49" t="n">
        <x:v>70</x:v>
      </x:c>
      <x:c r="E90" s="47" t="n">
        <x:v>0</x:v>
      </x:c>
      <x:c r="F90" s="47" t="n">
        <x:v>0</x:v>
      </x:c>
      <x:c r="G90" s="44" t="str">
        <x:v>https://bolets.app/zones/prades/prades</x:v>
      </x:c>
      <x:c r="H90" s="44" t="str">
        <x:v>2026-09-02</x:v>
      </x:c>
    </x:row>
    <x:row r="91">
      <x:c r="A91" s="44" t="str">
        <x:v>Google Spain — Spanish</x:v>
      </x:c>
      <x:c r="B91" s="44" t="str">
        <x:v>bolets venenosos</x:v>
      </x:c>
      <x:c r="C91" s="46" t="n">
        <x:v>15</x:v>
      </x:c>
      <x:c r="D91" s="49" t="n">
        <x:v>40</x:v>
      </x:c>
      <x:c r="E91" s="47" t="n">
        <x:v>0</x:v>
      </x:c>
      <x:c r="F91" s="47" t="n">
        <x:v>0</x:v>
      </x:c>
      <x:c r="G91" s="44" t="str">
        <x:v>https://bolets.app/bolets-verinosos</x:v>
      </x:c>
      <x:c r="H91" s="44" t="str">
        <x:v>2026-09-02</x:v>
      </x:c>
    </x:row>
    <x:row r="92">
      <x:c r="A92" s="44" t="str">
        <x:v>Google Mobile — Catalonia/Catalan</x:v>
      </x:c>
      <x:c r="B92" s="44" t="str">
        <x:v>bolets venenosos</x:v>
      </x:c>
      <x:c r="C92" s="46" t="n">
        <x:v>15</x:v>
      </x:c>
      <x:c r="D92" s="49" t="n">
        <x:v>30</x:v>
      </x:c>
      <x:c r="E92" s="47" t="n">
        <x:v>0</x:v>
      </x:c>
      <x:c r="F92" s="47" t="n">
        <x:v>0</x:v>
      </x:c>
      <x:c r="G92" s="44" t="str">
        <x:v>https://bolets.app/bolets-verinosos</x:v>
      </x:c>
      <x:c r="H92" s="44" t="str">
        <x:v>2026-09-02</x:v>
      </x:c>
    </x:row>
    <x:row r="93">
      <x:c r="A93" s="44" t="str">
        <x:v>Google Spain — Catalan</x:v>
      </x:c>
      <x:c r="B93" s="44" t="str">
        <x:v>bolets montnegre</x:v>
      </x:c>
      <x:c r="C93" s="46" t="n">
        <x:v>15</x:v>
      </x:c>
      <x:c r="D93" s="49" t="n">
        <x:v>10</x:v>
      </x:c>
      <x:c r="E93" s="47" t="n">
        <x:v>0</x:v>
      </x:c>
      <x:c r="F93" s="47" t="n">
        <x:v>0</x:v>
      </x:c>
      <x:c r="G93" s="44" t="str">
        <x:v>https://bolets.app/zones/montnegre-corredor</x:v>
      </x:c>
      <x:c r="H93" s="44" t="str">
        <x:v>2026-09-02</x:v>
      </x:c>
    </x:row>
    <x:row r="94">
      <x:c r="A94" s="44" t="str">
        <x:v>Google Spain — Spanish</x:v>
      </x:c>
      <x:c r="B94" s="44" t="str">
        <x:v>bolets muntanyes de prades</x:v>
      </x:c>
      <x:c r="C94" s="46" t="n">
        <x:v>15</x:v>
      </x:c>
      <x:c r="D94" s="49" t="n">
        <x:v>10</x:v>
      </x:c>
      <x:c r="E94" s="47" t="n">
        <x:v>0</x:v>
      </x:c>
      <x:c r="F94" s="47" t="n">
        <x:v>0</x:v>
      </x:c>
      <x:c r="G94" s="44" t="str">
        <x:v>https://bolets.app/zones/prades</x:v>
      </x:c>
      <x:c r="H94" s="44" t="str">
        <x:v>2026-09-02</x:v>
      </x:c>
    </x:row>
    <x:row r="95">
      <x:c r="A95" s="44" t="str">
        <x:v>Google Spain — Spanish</x:v>
      </x:c>
      <x:c r="B95" s="44" t="str">
        <x:v>bolets montnegre</x:v>
      </x:c>
      <x:c r="C95" s="46" t="n">
        <x:v>15</x:v>
      </x:c>
      <x:c r="D95" s="49" t="n">
        <x:v>10</x:v>
      </x:c>
      <x:c r="E95" s="47" t="n">
        <x:v>0</x:v>
      </x:c>
      <x:c r="F95" s="47" t="n">
        <x:v>0</x:v>
      </x:c>
      <x:c r="G95" s="44" t="str">
        <x:v>https://bolets.app/bolets</x:v>
      </x:c>
      <x:c r="H95" s="44" t="str">
        <x:v>2026-09-02</x:v>
      </x:c>
    </x:row>
    <x:row r="96">
      <x:c r="A96" s="44" t="str">
        <x:v>Google Spain — Catalan</x:v>
      </x:c>
      <x:c r="B96" s="44" t="str">
        <x:v>bolet rossinyol</x:v>
      </x:c>
      <x:c r="C96" s="46" t="n">
        <x:v>16</x:v>
      </x:c>
      <x:c r="D96" s="49" t="n">
        <x:v>140</x:v>
      </x:c>
      <x:c r="E96" s="47" t="n">
        <x:v>0.07</x:v>
      </x:c>
      <x:c r="F96" s="47" t="n">
        <x:v>0</x:v>
      </x:c>
      <x:c r="G96" s="44" t="str">
        <x:v>https://bolets.app/compare/rossinyol-vs-bolet-olivera</x:v>
      </x:c>
      <x:c r="H96" s="44" t="str">
        <x:v>2026-09-02</x:v>
      </x:c>
    </x:row>
    <x:row r="97">
      <x:c r="A97" s="44" t="str">
        <x:v>Google Spain — Spanish</x:v>
      </x:c>
      <x:c r="B97" s="44" t="str">
        <x:v>bolet rossinyol</x:v>
      </x:c>
      <x:c r="C97" s="46" t="n">
        <x:v>16</x:v>
      </x:c>
      <x:c r="D97" s="49" t="n">
        <x:v>140</x:v>
      </x:c>
      <x:c r="E97" s="47" t="n">
        <x:v>0.07</x:v>
      </x:c>
      <x:c r="F97" s="47" t="n">
        <x:v>0</x:v>
      </x:c>
      <x:c r="G97" s="44" t="str">
        <x:v>https://bolets.app/compare/rossinyol-vs-bolet-olivera</x:v>
      </x:c>
      <x:c r="H97" s="44" t="str">
        <x:v>2026-09-02</x:v>
      </x:c>
    </x:row>
    <x:row r="98">
      <x:c r="A98" s="44" t="str">
        <x:v>Google Spain — Spanish</x:v>
      </x:c>
      <x:c r="B98" s="44" t="str">
        <x:v>bolets solsonès</x:v>
      </x:c>
      <x:c r="C98" s="46" t="n">
        <x:v>16</x:v>
      </x:c>
      <x:c r="D98" s="49" t="n">
        <x:v>0</x:v>
      </x:c>
      <x:c r="E98" s="47" t="n">
        <x:v>0</x:v>
      </x:c>
      <x:c r="F98" s="47" t="n">
        <x:v>0</x:v>
      </x:c>
      <x:c r="G98" s="44" t="str">
        <x:v>https://bolets.app/zones/solsones</x:v>
      </x:c>
      <x:c r="H98" s="44" t="str">
        <x:v>2026-09-02</x:v>
      </x:c>
    </x:row>
    <x:row r="99">
      <x:c r="A99" s="44" t="str">
        <x:v>Google Spain — Catalan</x:v>
      </x:c>
      <x:c r="B99" s="44" t="str">
        <x:v>ceps bolets</x:v>
      </x:c>
      <x:c r="C99" s="46" t="n">
        <x:v>17</x:v>
      </x:c>
      <x:c r="D99" s="49" t="n">
        <x:v>880</x:v>
      </x:c>
      <x:c r="E99" s="47" t="n">
        <x:v>0.2</x:v>
      </x:c>
      <x:c r="F99" s="47" t="n">
        <x:v>0</x:v>
      </x:c>
      <x:c r="G99" s="44" t="str">
        <x:v>https://bolets.app/bolets/boletus-edulis</x:v>
      </x:c>
      <x:c r="H99" s="44" t="str">
        <x:v>2026-09-02</x:v>
      </x:c>
    </x:row>
    <x:row r="100">
      <x:c r="A100" s="44" t="str">
        <x:v>Google Mobile — Catalonia/Catalan</x:v>
      </x:c>
      <x:c r="B100" s="44" t="str">
        <x:v>cep bolet</x:v>
      </x:c>
      <x:c r="C100" s="46" t="n">
        <x:v>17</x:v>
      </x:c>
      <x:c r="D100" s="49" t="n">
        <x:v>720</x:v>
      </x:c>
      <x:c r="E100" s="47" t="n">
        <x:v>0.21</x:v>
      </x:c>
      <x:c r="F100" s="47" t="n">
        <x:v>0</x:v>
      </x:c>
      <x:c r="G100" s="44" t="str">
        <x:v>https://bolets.app/compare/cep-vs-cep-estiu</x:v>
      </x:c>
      <x:c r="H100" s="44" t="str">
        <x:v>2026-09-02</x:v>
      </x:c>
    </x:row>
    <x:row r="101">
      <x:c r="A101" s="44" t="str">
        <x:v>Google Mobile — Catalonia/Catalan</x:v>
      </x:c>
      <x:c r="B101" s="44" t="str">
        <x:v>cama de perdiu</x:v>
      </x:c>
      <x:c r="C101" s="46" t="n">
        <x:v>17</x:v>
      </x:c>
      <x:c r="D101" s="49" t="n">
        <x:v>260</x:v>
      </x:c>
      <x:c r="E101" s="47" t="n">
        <x:v>0</x:v>
      </x:c>
      <x:c r="F101" s="47" t="n">
        <x:v>0</x:v>
      </x:c>
      <x:c r="G101" s="44" t="str">
        <x:v>https://bolets.app/bolets/chroogomphus-rutilus</x:v>
      </x:c>
      <x:c r="H101" s="44" t="str">
        <x:v>2026-09-02</x:v>
      </x:c>
    </x:row>
    <x:row r="102">
      <x:c r="A102" s="44" t="str">
        <x:v>Google Mobile — Catalonia/Catalan</x:v>
      </x:c>
      <x:c r="B102" s="44" t="str">
        <x:v>bolet cep</x:v>
      </x:c>
      <x:c r="C102" s="46" t="n">
        <x:v>17</x:v>
      </x:c>
      <x:c r="D102" s="49" t="n">
        <x:v>110</x:v>
      </x:c>
      <x:c r="E102" s="47" t="n">
        <x:v>0.2</x:v>
      </x:c>
      <x:c r="F102" s="47" t="n">
        <x:v>0</x:v>
      </x:c>
      <x:c r="G102" s="44" t="str">
        <x:v>https://bolets.app/compare/cep-vs-cep-estiu</x:v>
      </x:c>
      <x:c r="H102" s="44" t="str">
        <x:v>2026-09-02</x:v>
      </x:c>
    </x:row>
    <x:row r="103">
      <x:c r="A103" s="44" t="str">
        <x:v>Google Spain — Catalan</x:v>
      </x:c>
      <x:c r="B103" s="44" t="str">
        <x:v>pinetell</x:v>
      </x:c>
      <x:c r="C103" s="46" t="n">
        <x:v>17</x:v>
      </x:c>
      <x:c r="D103" s="49" t="n">
        <x:v>20</x:v>
      </x:c>
      <x:c r="E103" s="47" t="n">
        <x:v>0.01</x:v>
      </x:c>
      <x:c r="F103" s="47" t="n">
        <x:v>0</x:v>
      </x:c>
      <x:c r="G103" s="44" t="str">
        <x:v>https://bolets.app/species/lactarius-deliciosus</x:v>
      </x:c>
      <x:c r="H103" s="44" t="str">
        <x:v>2026-09-02</x:v>
      </x:c>
    </x:row>
    <x:row r="104">
      <x:c r="A104" s="44" t="str">
        <x:v>Google Mobile — Catalonia/Catalan</x:v>
      </x:c>
      <x:c r="B104" s="44" t="str">
        <x:v>fals cep</x:v>
      </x:c>
      <x:c r="C104" s="46" t="n">
        <x:v>17</x:v>
      </x:c>
      <x:c r="D104" s="49" t="n">
        <x:v>20</x:v>
      </x:c>
      <x:c r="E104" s="47" t="n">
        <x:v>0</x:v>
      </x:c>
      <x:c r="F104" s="47" t="n">
        <x:v>0</x:v>
      </x:c>
      <x:c r="G104" s="44" t="str">
        <x:v>https://bolets.app/species/boletus-edulis</x:v>
      </x:c>
      <x:c r="H104" s="44" t="str">
        <x:v>2026-09-02</x:v>
      </x:c>
    </x:row>
    <x:row r="105">
      <x:c r="A105" s="44" t="str">
        <x:v>Google Spain — Catalan</x:v>
      </x:c>
      <x:c r="B105" s="44" t="str">
        <x:v>bolets garrotxa</x:v>
      </x:c>
      <x:c r="C105" s="46" t="n">
        <x:v>17</x:v>
      </x:c>
      <x:c r="D105" s="49" t="n">
        <x:v>10</x:v>
      </x:c>
      <x:c r="E105" s="47" t="n">
        <x:v>0</x:v>
      </x:c>
      <x:c r="F105" s="47" t="n">
        <x:v>0</x:v>
      </x:c>
      <x:c r="G105" s="44" t="str">
        <x:v>https://bolets.app/bolets</x:v>
      </x:c>
      <x:c r="H105" s="44" t="str">
        <x:v>2026-09-02</x:v>
      </x:c>
    </x:row>
    <x:row r="106">
      <x:c r="A106" s="44" t="str">
        <x:v>Google Spain — Spanish</x:v>
      </x:c>
      <x:c r="B106" s="44" t="str">
        <x:v>molleric granellut</x:v>
      </x:c>
      <x:c r="C106" s="46" t="n">
        <x:v>17</x:v>
      </x:c>
      <x:c r="D106" s="49" t="n">
        <x:v>10</x:v>
      </x:c>
      <x:c r="E106" s="47" t="n">
        <x:v>0</x:v>
      </x:c>
      <x:c r="F106" s="47" t="n">
        <x:v>0</x:v>
      </x:c>
      <x:c r="G106" s="44" t="str">
        <x:v>https://bolets.app/bolets/suillus-granulatus</x:v>
      </x:c>
      <x:c r="H106" s="44" t="str">
        <x:v>2026-09-02</x:v>
      </x:c>
    </x:row>
    <x:row r="107">
      <x:c r="A107" s="44" t="str">
        <x:v>Google Spain — Spanish</x:v>
      </x:c>
      <x:c r="B107" s="44" t="str">
        <x:v>bolets garrotxa</x:v>
      </x:c>
      <x:c r="C107" s="46" t="n">
        <x:v>17</x:v>
      </x:c>
      <x:c r="D107" s="49" t="n">
        <x:v>10</x:v>
      </x:c>
      <x:c r="E107" s="47" t="n">
        <x:v>0</x:v>
      </x:c>
      <x:c r="F107" s="47" t="n">
        <x:v>0</x:v>
      </x:c>
      <x:c r="G107" s="44" t="str">
        <x:v>https://bolets.app/bolets</x:v>
      </x:c>
      <x:c r="H107" s="44" t="str">
        <x:v>2026-09-02</x:v>
      </x:c>
    </x:row>
    <x:row r="108">
      <x:c r="A108" s="44" t="str">
        <x:v>Google Mobile — Catalonia/Catalan</x:v>
      </x:c>
      <x:c r="B108" s="44" t="str">
        <x:v>ou de reig dolent</x:v>
      </x:c>
      <x:c r="C108" s="46" t="n">
        <x:v>18</x:v>
      </x:c>
      <x:c r="D108" s="49" t="n">
        <x:v>110</x:v>
      </x:c>
      <x:c r="E108" s="47" t="n">
        <x:v>0</x:v>
      </x:c>
      <x:c r="F108" s="47" t="n">
        <x:v>0</x:v>
      </x:c>
      <x:c r="G108" s="44" t="str">
        <x:v>https://bolets.app/bolets/amanita-caesarea</x:v>
      </x:c>
      <x:c r="H108" s="44" t="str">
        <x:v>2026-09-02</x:v>
      </x:c>
    </x:row>
    <x:row r="109">
      <x:c r="A109" s="44" t="str">
        <x:v>Google Spain — Spanish</x:v>
      </x:c>
      <x:c r="B109" s="44" t="str">
        <x:v>bolets de primavera</x:v>
      </x:c>
      <x:c r="C109" s="46" t="n">
        <x:v>18</x:v>
      </x:c>
      <x:c r="D109" s="49" t="n">
        <x:v>70</x:v>
      </x:c>
      <x:c r="E109" s="47" t="n">
        <x:v>0.07</x:v>
      </x:c>
      <x:c r="F109" s="47" t="n">
        <x:v>0</x:v>
      </x:c>
      <x:c r="G109" s="44" t="str">
        <x:v>https://bolets.app/bolets-de-primavera</x:v>
      </x:c>
      <x:c r="H109" s="44" t="str">
        <x:v>2026-09-02</x:v>
      </x:c>
    </x:row>
    <x:row r="110">
      <x:c r="A110" s="44" t="str">
        <x:v>Google Spain — Catalan</x:v>
      </x:c>
      <x:c r="B110" s="44" t="str">
        <x:v>peu blau bolet</x:v>
      </x:c>
      <x:c r="C110" s="46" t="n">
        <x:v>18</x:v>
      </x:c>
      <x:c r="D110" s="49" t="n">
        <x:v>10</x:v>
      </x:c>
      <x:c r="E110" s="47" t="n">
        <x:v>0</x:v>
      </x:c>
      <x:c r="F110" s="47" t="n">
        <x:v>0</x:v>
      </x:c>
      <x:c r="G110" s="44" t="str">
        <x:v>https://bolets.app/bolets/lepista-nuda</x:v>
      </x:c>
      <x:c r="H110" s="44" t="str">
        <x:v>2026-09-02</x:v>
      </x:c>
    </x:row>
    <x:row r="111">
      <x:c r="A111" s="44" t="str">
        <x:v>Google Spain — Catalan</x:v>
      </x:c>
      <x:c r="B111" s="44" t="str">
        <x:v>molleric granellut</x:v>
      </x:c>
      <x:c r="C111" s="46" t="n">
        <x:v>18</x:v>
      </x:c>
      <x:c r="D111" s="49" t="n">
        <x:v>10</x:v>
      </x:c>
      <x:c r="E111" s="47" t="n">
        <x:v>0</x:v>
      </x:c>
      <x:c r="F111" s="47" t="n">
        <x:v>0</x:v>
      </x:c>
      <x:c r="G111" s="44" t="str">
        <x:v>https://bolets.app/bolets/suillus-granulatus</x:v>
      </x:c>
      <x:c r="H111" s="44" t="str">
        <x:v>2026-09-02</x:v>
      </x:c>
    </x:row>
    <x:row r="112">
      <x:c r="A112" s="44" t="str">
        <x:v>Google Spain — Catalan</x:v>
      </x:c>
      <x:c r="B112" s="44" t="str">
        <x:v>rossinyol bolet</x:v>
      </x:c>
      <x:c r="C112" s="46" t="n">
        <x:v>18</x:v>
      </x:c>
      <x:c r="D112" s="49" t="n">
        <x:v>10</x:v>
      </x:c>
      <x:c r="E112" s="47" t="n">
        <x:v>0.14</x:v>
      </x:c>
      <x:c r="F112" s="47" t="n">
        <x:v>0</x:v>
      </x:c>
      <x:c r="G112" s="44" t="str">
        <x:v>https://bolets.app/compare/rossinyol-vs-bolet-olivera</x:v>
      </x:c>
      <x:c r="H112" s="44" t="str">
        <x:v>2026-09-02</x:v>
      </x:c>
    </x:row>
    <x:row r="113">
      <x:c r="A113" s="44" t="str">
        <x:v>Google Spain — Spanish</x:v>
      </x:c>
      <x:c r="B113" s="44" t="str">
        <x:v>cortinari metzinós</x:v>
      </x:c>
      <x:c r="C113" s="46" t="n">
        <x:v>18</x:v>
      </x:c>
      <x:c r="D113" s="49" t="n">
        <x:v>10</x:v>
      </x:c>
      <x:c r="E113" s="47" t="n">
        <x:v>0</x:v>
      </x:c>
      <x:c r="F113" s="47" t="n">
        <x:v>0</x:v>
      </x:c>
      <x:c r="G113" s="44" t="str">
        <x:v>https://bolets.app/bolets/cortinarius-rubellus</x:v>
      </x:c>
      <x:c r="H113" s="44" t="str">
        <x:v>2026-09-02</x:v>
      </x:c>
    </x:row>
    <x:row r="114">
      <x:c r="A114" s="44" t="str">
        <x:v>Google Spain — Catalan</x:v>
      </x:c>
      <x:c r="B114" s="44" t="str">
        <x:v>bolets solsonès</x:v>
      </x:c>
      <x:c r="C114" s="46" t="n">
        <x:v>18</x:v>
      </x:c>
      <x:c r="D114" s="49" t="n">
        <x:v>0</x:v>
      </x:c>
      <x:c r="E114" s="47" t="n">
        <x:v>0</x:v>
      </x:c>
      <x:c r="F114" s="47" t="n">
        <x:v>0</x:v>
      </x:c>
      <x:c r="G114" s="44" t="str">
        <x:v>https://bolets.app/zones/solsones</x:v>
      </x:c>
      <x:c r="H114" s="44" t="str">
        <x:v>2026-09-02</x:v>
      </x:c>
    </x:row>
    <x:row r="115">
      <x:c r="A115" s="44" t="str">
        <x:v>Google Spain — Catalan</x:v>
      </x:c>
      <x:c r="B115" s="44" t="str">
        <x:v>cama de perdiu confusions</x:v>
      </x:c>
      <x:c r="C115" s="46" t="n">
        <x:v>19</x:v>
      </x:c>
      <x:c r="D115" s="49" t="n">
        <x:v>70</x:v>
      </x:c>
      <x:c r="E115" s="47" t="n">
        <x:v>0</x:v>
      </x:c>
      <x:c r="F115" s="47" t="n">
        <x:v>0</x:v>
      </x:c>
      <x:c r="G115" s="44" t="str">
        <x:v>https://bolets.app/bolets/chroogomphus-rutilus</x:v>
      </x:c>
      <x:c r="H115" s="44" t="str">
        <x:v>2026-09-02</x:v>
      </x:c>
    </x:row>
    <x:row r="116">
      <x:c r="A116" s="44" t="str">
        <x:v>Google Spain — Spanish</x:v>
      </x:c>
      <x:c r="B116" s="44" t="str">
        <x:v>bolet de greix</x:v>
      </x:c>
      <x:c r="C116" s="46" t="n">
        <x:v>20</x:v>
      </x:c>
      <x:c r="D116" s="49" t="n">
        <x:v>70</x:v>
      </x:c>
      <x:c r="E116" s="47" t="n">
        <x:v>0.05</x:v>
      </x:c>
      <x:c r="F116" s="47" t="n">
        <x:v>0</x:v>
      </x:c>
      <x:c r="G116" s="44" t="str">
        <x:v>https://bolets.app/bolets/gyromitra-esculenta</x:v>
      </x:c>
      <x:c r="H116" s="44" t="str">
        <x:v>2026-09-02</x:v>
      </x:c>
    </x:row>
    <x:row r="117">
      <x:c r="A117" s="44" t="str">
        <x:v>Google Spain — Spanish</x:v>
      </x:c>
      <x:c r="B117" s="44" t="str">
        <x:v>tipus de bolets a Catalunya</x:v>
      </x:c>
      <x:c r="C117" s="46" t="n">
        <x:v>20</x:v>
      </x:c>
      <x:c r="D117" s="49" t="n">
        <x:v>20</x:v>
      </x:c>
      <x:c r="E117" s="47" t="n">
        <x:v>0</x:v>
      </x:c>
      <x:c r="F117" s="47" t="n">
        <x:v>0</x:v>
      </x:c>
      <x:c r="G117" s="44" t="str">
        <x:v>https://bolets.app/species</x:v>
      </x:c>
      <x:c r="H117" s="44" t="str">
        <x:v>2026-09-02</x:v>
      </x:c>
    </x:row>
    <x:row r="118">
      <x:c r="A118" s="44" t="str">
        <x:v>Google Spain — Catalan</x:v>
      </x:c>
      <x:c r="B118" s="44" t="str">
        <x:v>bolets ripollès</x:v>
      </x:c>
      <x:c r="C118" s="46" t="n">
        <x:v>20</x:v>
      </x:c>
      <x:c r="D118" s="49" t="n">
        <x:v>10</x:v>
      </x:c>
      <x:c r="E118" s="47" t="n">
        <x:v>0</x:v>
      </x:c>
      <x:c r="F118" s="47" t="n">
        <x:v>0</x:v>
      </x:c>
      <x:c r="G118" s="44" t="str">
        <x:v>https://bolets.app/bolets</x:v>
      </x:c>
      <x:c r="H118" s="44" t="str">
        <x:v>2026-09-02</x:v>
      </x:c>
    </x:row>
    <x:row r="119">
      <x:c r="A119" s="44" t="str">
        <x:v>Google Spain — Spanish</x:v>
      </x:c>
      <x:c r="B119" s="44" t="str">
        <x:v>bolets ripollès</x:v>
      </x:c>
      <x:c r="C119" s="46" t="n">
        <x:v>20</x:v>
      </x:c>
      <x:c r="D119" s="49" t="n">
        <x:v>10</x:v>
      </x:c>
      <x:c r="E119" s="47" t="n">
        <x:v>0</x:v>
      </x:c>
      <x:c r="F119" s="47" t="n">
        <x:v>0</x:v>
      </x:c>
      <x:c r="G119" s="44" t="str">
        <x:v>https://bolets.app/bolets</x:v>
      </x:c>
      <x:c r="H119" s="44" t="str">
        <x:v>2026-09-02</x:v>
      </x:c>
    </x:row>
    <x:row r="120">
      <x:c r="A120" s="44" t="str">
        <x:v>Google Spain — Catalan</x:v>
      </x:c>
      <x:c r="B120" s="44" t="str">
        <x:v>bolets no comestibles</x:v>
      </x:c>
      <x:c r="C120" s="54" t="n">
        <x:v>21</x:v>
      </x:c>
      <x:c r="D120" s="49" t="n">
        <x:v>140</x:v>
      </x:c>
      <x:c r="E120" s="47" t="n">
        <x:v>0</x:v>
      </x:c>
      <x:c r="F120" s="47" t="n">
        <x:v>0</x:v>
      </x:c>
      <x:c r="G120" s="44" t="str">
        <x:v>https://bolets.app/bolets-verinosos</x:v>
      </x:c>
      <x:c r="H120" s="44" t="str">
        <x:v>2026-09-02</x:v>
      </x:c>
    </x:row>
    <x:row r="121">
      <x:c r="A121" s="44" t="str">
        <x:v>Google Spain — Spanish</x:v>
      </x:c>
      <x:c r="B121" s="44" t="str">
        <x:v>pota de perdiu</x:v>
      </x:c>
      <x:c r="C121" s="54" t="n">
        <x:v>22</x:v>
      </x:c>
      <x:c r="D121" s="49" t="n">
        <x:v>260</x:v>
      </x:c>
      <x:c r="E121" s="47" t="n">
        <x:v>0</x:v>
      </x:c>
      <x:c r="F121" s="47" t="n">
        <x:v>0</x:v>
      </x:c>
      <x:c r="G121" s="44" t="str">
        <x:v>https://bolets.app/bolets/chroogomphus-rutilus</x:v>
      </x:c>
      <x:c r="H121" s="44" t="str">
        <x:v>2026-09-02</x:v>
      </x:c>
    </x:row>
    <x:row r="122">
      <x:c r="A122" s="44" t="str">
        <x:v>Google Spain — Catalan</x:v>
      </x:c>
      <x:c r="B122" s="44" t="str">
        <x:v>farinera borda</x:v>
      </x:c>
      <x:c r="C122" s="54" t="n">
        <x:v>24</x:v>
      </x:c>
      <x:c r="D122" s="49" t="n">
        <x:v>390</x:v>
      </x:c>
      <x:c r="E122" s="47" t="n">
        <x:v>0</x:v>
      </x:c>
      <x:c r="F122" s="47" t="n">
        <x:v>0</x:v>
      </x:c>
      <x:c r="G122" s="44" t="str">
        <x:v>https://bolets.app/bolets/amanita-phalloides</x:v>
      </x:c>
      <x:c r="H122" s="44" t="str">
        <x:v>2026-09-02</x:v>
      </x:c>
    </x:row>
    <x:row r="123">
      <x:c r="A123" s="44" t="str">
        <x:v>Google Spain — Spanish</x:v>
      </x:c>
      <x:c r="B123" s="44" t="str">
        <x:v>tipus de ceps</x:v>
      </x:c>
      <x:c r="C123" s="54" t="n">
        <x:v>24</x:v>
      </x:c>
      <x:c r="D123" s="49" t="n">
        <x:v>260</x:v>
      </x:c>
      <x:c r="E123" s="47" t="n">
        <x:v>0.02</x:v>
      </x:c>
      <x:c r="F123" s="47" t="n">
        <x:v>0</x:v>
      </x:c>
      <x:c r="G123" s="44" t="str">
        <x:v>https://bolets.app/species/boletus-edulis</x:v>
      </x:c>
      <x:c r="H123" s="44" t="str">
        <x:v>2026-09-02</x:v>
      </x:c>
    </x:row>
    <x:row r="124">
      <x:c r="A124" s="44" t="str">
        <x:v>Google Spain — Catalan</x:v>
      </x:c>
      <x:c r="B124" s="44" t="str">
        <x:v>fredolic bord</x:v>
      </x:c>
      <x:c r="C124" s="54" t="n">
        <x:v>24</x:v>
      </x:c>
      <x:c r="D124" s="49" t="n">
        <x:v>140</x:v>
      </x:c>
      <x:c r="E124" s="47" t="n">
        <x:v>0</x:v>
      </x:c>
      <x:c r="F124" s="47" t="n">
        <x:v>0</x:v>
      </x:c>
      <x:c r="G124" s="44" t="str">
        <x:v>https://bolets.app/bolets/tricholoma-pardinum</x:v>
      </x:c>
      <x:c r="H124" s="44" t="str">
        <x:v>2026-09-02</x:v>
      </x:c>
    </x:row>
  </x:sheetData>
  <x:mergeCells>
    <x:mergeCell ref="A1:H1"/>
    <x:mergeCell ref="A2:N2"/>
  </x:mergeCells>
  <x:pageMargins left="0.7" right="0.7" top="0.75" bottom="0.75" header="0.3" footer="0.3"/>
  <x:tableParts count="1">
    <x:tablePart xmlns:r="http://schemas.openxmlformats.org/officeDocument/2006/relationships" r:id="R56de145049c34a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27" hidden="0" customWidth="1"/>
    <x:col min="3" max="3" width="13" hidden="0" customWidth="1"/>
    <x:col min="4" max="4" width="48" hidden="0" customWidth="1"/>
    <x:col min="5" max="5" width="50" hidden="0" customWidth="1"/>
    <x:col min="6" max="6" width="50" hidden="0" customWidth="1"/>
  </x:cols>
  <x:sheetData>
    <x:row r="1" ht="34" customHeight="1">
      <x:c r="A1" s="3" t="str">
        <x:v>Content gap analysis</x:v>
      </x:c>
      <x:c r="B1" s="3" t="str">
        <x:v>Content gap analysis</x:v>
      </x:c>
      <x:c r="C1" s="3" t="str">
        <x:v>Content gap analysis</x:v>
      </x:c>
      <x:c r="D1" s="3" t="str">
        <x:v>Content gap analysis</x:v>
      </x:c>
      <x:c r="E1" s="3" t="str">
        <x:v>Content gap analysis</x:v>
      </x:c>
      <x:c r="F1" s="3" t="str">
        <x:v>Content gap analysis</x:v>
      </x:c>
    </x:row>
    <x:row r="2" ht="28" customHeight="1">
      <x:c r="A2" s="6" t="str">
        <x:v>Topics competitors cover more deeply, cross-checked against the current Bolets sitemap and tracked keyword opportunities.</x:v>
      </x:c>
      <x:c r="B2" s="6" t="str">
        <x:v>Topics competitors cover more deeply, cross-checked against the current Bolets sitemap and tracked keyword opportunities.</x:v>
      </x:c>
      <x:c r="C2" s="6" t="str">
        <x:v>Topics competitors cover more deeply, cross-checked against the current Bolets sitemap and tracked keyword opportunities.</x:v>
      </x:c>
      <x:c r="D2" s="6" t="str">
        <x:v>Topics competitors cover more deeply, cross-checked against the current Bolets sitemap and tracked keyword opportunities.</x:v>
      </x:c>
      <x:c r="E2" s="6" t="str">
        <x:v>Topics competitors cover more deeply, cross-checked against the current Bolets sitemap and tracked keyword opportunities.</x:v>
      </x:c>
      <x:c r="F2" s="6" t="str">
        <x:v>Topics competitors cover more deeply, cross-checked against the current Bolets sitemap and tracked keyword opportunities.</x:v>
      </x:c>
      <x:c r="G2" s="6" t="str">
        <x:v>Topics competitors cover more deeply, cross-checked against the current Bolets sitemap and tracked keyword opportunities.</x:v>
      </x:c>
      <x:c r="H2" s="6" t="str">
        <x:v>Topics competitors cover more deeply, cross-checked against the current Bolets sitemap and tracked keyword opportunities.</x:v>
      </x:c>
      <x:c r="I2" s="6" t="str">
        <x:v>Topics competitors cover more deeply, cross-checked against the current Bolets sitemap and tracked keyword opportunities.</x:v>
      </x:c>
      <x:c r="J2" s="6" t="str">
        <x:v>Topics competitors cover more deeply, cross-checked against the current Bolets sitemap and tracked keyword opportunities.</x:v>
      </x:c>
      <x:c r="K2" s="6" t="str">
        <x:v>Topics competitors cover more deeply, cross-checked against the current Bolets sitemap and tracked keyword opportunities.</x:v>
      </x:c>
      <x:c r="L2" s="6" t="str">
        <x:v>Topics competitors cover more deeply, cross-checked against the current Bolets sitemap and tracked keyword opportunities.</x:v>
      </x:c>
      <x:c r="M2" s="6" t="str">
        <x:v>Topics competitors cover more deeply, cross-checked against the current Bolets sitemap and tracked keyword opportunities.</x:v>
      </x:c>
      <x:c r="N2" s="6" t="str">
        <x:v>Topics competitors cover more deeply, cross-checked against the current Bolets sitemap and tracked keyword opportunities.</x:v>
      </x:c>
    </x:row>
    <x:row r="4" ht="30" customHeight="1">
      <x:c r="A4" s="40" t="str">
        <x:v>Priority</x:v>
      </x:c>
      <x:c r="B4" s="40" t="str">
        <x:v>Topic</x:v>
      </x:c>
      <x:c r="C4" s="40" t="str">
        <x:v>Current status</x:v>
      </x:c>
      <x:c r="D4" s="40" t="str">
        <x:v>Competitor / keyword evidence</x:v>
      </x:c>
      <x:c r="E4" s="40" t="str">
        <x:v>Recommended asset</x:v>
      </x:c>
      <x:c r="F4" s="40" t="str">
        <x:v>Editorial guardrail</x:v>
      </x:c>
    </x:row>
    <x:row r="5" ht="58" customHeight="1">
      <x:c r="A5" s="45" t="str">
        <x:v>P1</x:v>
      </x:c>
      <x:c r="B5" s="45" t="str">
        <x:v>Bilingual mushroom names</x:v>
      </x:c>
      <x:c r="C5" s="45" t="str">
        <x:v>Missing</x:v>
      </x:c>
      <x:c r="D5" s="45" t="str">
        <x:v>Micocat and species competitors rank for Catalan↔Spanish names; 'setas en catalan' 390 searches/mo, KD 9.</x:v>
      </x:c>
      <x:c r="E5" s="45" t="str">
        <x:v>A canonical Catalan–Spanish–scientific glossary linked from every species profile.</x:v>
      </x:c>
      <x:c r="F5" s="45" t="str">
        <x:v>Do not create duplicate translated species pages unless a full hreflang strategy is funded.</x:v>
      </x:c>
    </x:row>
    <x:row r="6" ht="58" customHeight="1">
      <x:c r="A6" s="45" t="str">
        <x:v>P1</x:v>
      </x:c>
      <x:c r="B6" s="45" t="str">
        <x:v>Practical hunting guide</x:v>
      </x:c>
      <x:c r="C6" s="45" t="str">
        <x:v>Missing</x:v>
      </x:c>
      <x:c r="D6" s="45" t="str">
        <x:v>Bolets.com has a deep 'Buscant bolets' archive covering routes, tools, navigation and technique.</x:v>
      </x:c>
      <x:c r="E6" s="45" t="str">
        <x:v>A beginner hub: preparation, basket/knife, sustainable picking, navigation, weather, safety and legal links.</x:v>
      </x:c>
      <x:c r="F6" s="45" t="str">
        <x:v>Generalize locations; never reveal sensitive ecological spots.</x:v>
      </x:c>
    </x:row>
    <x:row r="7" ht="58" customHeight="1">
      <x:c r="A7" s="45" t="str">
        <x:v>P1</x:v>
      </x:c>
      <x:c r="B7" s="45" t="str">
        <x:v>Recipes by species</x:v>
      </x:c>
      <x:c r="C7" s="45" t="str">
        <x:v>Missing</x:v>
      </x:c>
      <x:c r="D7" s="45" t="str">
        <x:v>Bolets.com exposes 30+ dedicated recipe articles; competitors rank for camagroc, rovelló and stew queries.</x:v>
      </x:c>
      <x:c r="E7" s="45" t="str">
        <x:v>One recipe hub plus carefully selected species subpages: rovellons, camagrocs, ceps, fredolics.</x:v>
      </x:c>
      <x:c r="F7" s="45" t="str">
        <x:v>Keep food safety and correct identification warnings prominent.</x:v>
      </x:c>
    </x:row>
    <x:row r="8" ht="58" customHeight="1">
      <x:c r="A8" s="45" t="str">
        <x:v>P1</x:v>
      </x:c>
      <x:c r="B8" s="45" t="str">
        <x:v>Species-specific preservation</x:v>
      </x:c>
      <x:c r="C8" s="45" t="str">
        <x:v>Partial</x:v>
      </x:c>
      <x:c r="D8" s="45" t="str">
        <x:v>Competitors have dedicated freezing, drying and rovelló-preserve pages; current site has one generic guide.</x:v>
      </x:c>
      <x:c r="E8" s="45" t="str">
        <x:v>Expand the existing guide with indexable sections or child pages for ceps, camagrocs and rovellons.</x:v>
      </x:c>
      <x:c r="F8" s="45" t="str">
        <x:v>Avoid thin pages; consolidate when search demand is small.</x:v>
      </x:c>
    </x:row>
    <x:row r="9" ht="58" customHeight="1">
      <x:c r="A9" s="45" t="str">
        <x:v>P1</x:v>
      </x:c>
      <x:c r="B9" s="45" t="str">
        <x:v>Confusion and poisoning response</x:v>
      </x:c>
      <x:c r="C9" s="45" t="str">
        <x:v>Partial</x:v>
      </x:c>
      <x:c r="D9" s="45" t="str">
        <x:v>Low-KD demand exists for toxic fredolics, poisonous níscalos and false lookalikes.</x:v>
      </x:c>
      <x:c r="E9" s="45" t="str">
        <x:v>Comparison hubs plus a sourced emergency-response page with Poison Control/112 guidance.</x:v>
      </x:c>
      <x:c r="F9" s="45" t="str">
        <x:v>High-stakes content needs authoritative sources and explicit limits; never imply edibility certification.</x:v>
      </x:c>
    </x:row>
    <x:row r="10" ht="58" customHeight="1">
      <x:c r="A10" s="46" t="str">
        <x:v>P2</x:v>
      </x:c>
      <x:c r="B10" s="46" t="str">
        <x:v>Tree and forest habitat</x:v>
      </x:c>
      <x:c r="C10" s="46" t="str">
        <x:v>Missing</x:v>
      </x:c>
      <x:c r="D10" s="46" t="str">
        <x:v>Competitors publish extensive pine, oak and forest explainers tied to mushrooms.</x:v>
      </x:c>
      <x:c r="E10" s="46" t="str">
        <x:v>A 'bolets i arbres' hub mapping tree/forest types to likely species and ecological caveats.</x:v>
      </x:c>
      <x:c r="F10" s="46" t="str">
        <x:v>Present habitat compatibility, not collection coordinates or guaranteed presence.</x:v>
      </x:c>
    </x:row>
    <x:row r="11" ht="58" customHeight="1">
      <x:c r="A11" s="46" t="str">
        <x:v>P2</x:v>
      </x:c>
      <x:c r="B11" s="46" t="str">
        <x:v>Rain and weather interpretation</x:v>
      </x:c>
      <x:c r="C11" s="46" t="str">
        <x:v>Partial</x:v>
      </x:c>
      <x:c r="D11" s="46" t="str">
        <x:v>Bolets.com's rain-data page dominates generic Meteocat/radar demand; its page explains current versus historical rain.</x:v>
      </x:c>
      <x:c r="E11" s="46" t="str">
        <x:v>A user-facing explainer tying rain history, temperature and soil moisture to the existing model and map.</x:v>
      </x:c>
      <x:c r="F11" s="46" t="str">
        <x:v>Do not chase generic 'Meteocat radar' head terms as a standalone weather portal.</x:v>
      </x:c>
    </x:row>
    <x:row r="12" ht="58" customHeight="1">
      <x:c r="A12" s="46" t="str">
        <x:v>P2</x:v>
      </x:c>
      <x:c r="B12" s="46" t="str">
        <x:v>Mycology fundamentals</x:v>
      </x:c>
      <x:c r="C12" s="46" t="str">
        <x:v>Partial</x:v>
      </x:c>
      <x:c r="D12" s="46" t="str">
        <x:v>La Casa de las Setas covers spores, mycelium, lifecycle and mycorrhizae in depth.</x:v>
      </x:c>
      <x:c r="E12" s="46" t="str">
        <x:v>Extend anatomy into lifecycle, spores, mycelium and mycorrhizae, with links to method/species pages.</x:v>
      </x:c>
      <x:c r="F12" s="46" t="str">
        <x:v>Educational authority play; lower immediate product intent.</x:v>
      </x:c>
    </x:row>
    <x:row r="13" ht="58" customHeight="1">
      <x:c r="A13" s="48" t="str">
        <x:v>P3</x:v>
      </x:c>
      <x:c r="B13" s="48" t="str">
        <x:v>Cultivation</x:v>
      </x:c>
      <x:c r="C13" s="48" t="str">
        <x:v>Missing</x:v>
      </x:c>
      <x:c r="D13" s="48" t="str">
        <x:v>Competitors rank for mycelium and cultivation-related terms.</x:v>
      </x:c>
      <x:c r="E13" s="48" t="str">
        <x:v>Only pursue if the editorial scope expands beyond wild mushroom hunting.</x:v>
      </x:c>
      <x:c r="F13" s="48" t="str">
        <x:v>Weak fit with the current prediction/field-use product; defer behind core clusters.</x:v>
      </x:c>
    </x:row>
  </x:sheetData>
  <x:mergeCells>
    <x:mergeCell ref="A1:F1"/>
    <x:mergeCell ref="A2:N2"/>
  </x:mergeCells>
  <x:pageMargins left="0.7" right="0.7" top="0.75" bottom="0.75" header="0.3" footer="0.3"/>
  <x:tableParts count="1">
    <x:tablePart xmlns:r="http://schemas.openxmlformats.org/officeDocument/2006/relationships" r:id="Rfb9d531aa573436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18" hidden="0" customWidth="1"/>
    <x:col min="4" max="4" width="24" hidden="0" customWidth="1"/>
    <x:col min="5" max="5" width="18" hidden="0" customWidth="1"/>
    <x:col min="6" max="6" width="4" hidden="0" customWidth="1"/>
    <x:col min="7" max="7" width="13" hidden="0" customWidth="1"/>
    <x:col min="8" max="8" width="13" hidden="0" customWidth="1"/>
  </x:cols>
  <x:sheetData>
    <x:row r="1" ht="34" customHeight="1">
      <x:c r="A1" s="3" t="str">
        <x:v>Organic competitor benchmark</x:v>
      </x:c>
      <x:c r="B1" s="3" t="str">
        <x:v>Organic competitor benchmark</x:v>
      </x:c>
      <x:c r="C1" s="3" t="str">
        <x:v>Organic competitor benchmark</x:v>
      </x:c>
      <x:c r="D1" s="3" t="str">
        <x:v>Organic competitor benchmark</x:v>
      </x:c>
      <x:c r="E1" s="3" t="str">
        <x:v>Organic competitor benchmark</x:v>
      </x:c>
      <x:c r="F1" s="3" t="str">
        <x:v>Organic competitor benchmark</x:v>
      </x:c>
      <x:c r="G1" s="3" t="str">
        <x:v>Organic competitor benchmark</x:v>
      </x:c>
      <x:c r="H1" s="3" t="str">
        <x:v>Organic competitor benchmark</x:v>
      </x:c>
    </x:row>
    <x:row r="2" ht="28" customHeight="1">
      <x:c r="A2" s="6" t="str">
        <x:v>Visibility across the same 145 tracked terms; use directionally, not as total-market share.</x:v>
      </x:c>
      <x:c r="B2" s="6" t="str">
        <x:v>Visibility across the same 145 tracked terms; use directionally, not as total-market share.</x:v>
      </x:c>
      <x:c r="C2" s="6" t="str">
        <x:v>Visibility across the same 145 tracked terms; use directionally, not as total-market share.</x:v>
      </x:c>
      <x:c r="D2" s="6" t="str">
        <x:v>Visibility across the same 145 tracked terms; use directionally, not as total-market share.</x:v>
      </x:c>
      <x:c r="E2" s="6" t="str">
        <x:v>Visibility across the same 145 tracked terms; use directionally, not as total-market share.</x:v>
      </x:c>
      <x:c r="F2" s="6" t="str">
        <x:v>Visibility across the same 145 tracked terms; use directionally, not as total-market share.</x:v>
      </x:c>
      <x:c r="G2" s="6" t="str">
        <x:v>Visibility across the same 145 tracked terms; use directionally, not as total-market share.</x:v>
      </x:c>
      <x:c r="H2" s="6" t="str">
        <x:v>Visibility across the same 145 tracked terms; use directionally, not as total-market share.</x:v>
      </x:c>
      <x:c r="I2" s="6" t="str">
        <x:v>Visibility across the same 145 tracked terms; use directionally, not as total-market share.</x:v>
      </x:c>
      <x:c r="J2" s="6" t="str">
        <x:v>Visibility across the same 145 tracked terms; use directionally, not as total-market share.</x:v>
      </x:c>
      <x:c r="K2" s="6" t="str">
        <x:v>Visibility across the same 145 tracked terms; use directionally, not as total-market share.</x:v>
      </x:c>
      <x:c r="L2" s="6" t="str">
        <x:v>Visibility across the same 145 tracked terms; use directionally, not as total-market share.</x:v>
      </x:c>
      <x:c r="M2" s="6" t="str">
        <x:v>Visibility across the same 145 tracked terms; use directionally, not as total-market share.</x:v>
      </x:c>
      <x:c r="N2" s="6" t="str">
        <x:v>Visibility across the same 145 tracked terms; use directionally, not as total-market share.</x:v>
      </x:c>
    </x:row>
    <x:row r="4" ht="30" customHeight="1">
      <x:c r="A4" s="40" t="str">
        <x:v>Domain</x:v>
      </x:c>
      <x:c r="B4" s="40" t="str">
        <x:v>Google Spain — CA</x:v>
      </x:c>
      <x:c r="C4" s="40" t="str">
        <x:v>Google Spain — ES</x:v>
      </x:c>
      <x:c r="D4" s="40" t="str">
        <x:v>Google Mobile — Catalonia</x:v>
      </x:c>
      <x:c r="E4" s="40" t="str">
        <x:v>Average visibility</x:v>
      </x:c>
    </x:row>
    <x:row r="5">
      <x:c r="A5" s="44" t="str">
        <x:v>www.bolets.com</x:v>
      </x:c>
      <x:c r="B5" s="47" t="n">
        <x:v>36.84</x:v>
      </x:c>
      <x:c r="C5" s="47" t="n">
        <x:v>24.47</x:v>
      </x:c>
      <x:c r="D5" s="47" t="n">
        <x:v>47.54</x:v>
      </x:c>
      <x:c r="E5" s="47" t="n">
        <x:v>36.28333333333333</x:v>
      </x:c>
    </x:row>
    <x:row r="6">
      <x:c r="A6" s="44" t="str">
        <x:v>lacasadelassetas.com</x:v>
      </x:c>
      <x:c r="B6" s="47" t="n">
        <x:v>25.5</x:v>
      </x:c>
      <x:c r="C6" s="47" t="n">
        <x:v>29.32</x:v>
      </x:c>
      <x:c r="D6" s="47" t="n">
        <x:v>25.38</x:v>
      </x:c>
      <x:c r="E6" s="47" t="n">
        <x:v>26.733333333333334</x:v>
      </x:c>
    </x:row>
    <x:row r="7">
      <x:c r="A7" s="44" t="str">
        <x:v>elmedinaturaldelbages.cat</x:v>
      </x:c>
      <x:c r="B7" s="47" t="n">
        <x:v>13.62</x:v>
      </x:c>
      <x:c r="C7" s="47" t="n">
        <x:v>7.11</x:v>
      </x:c>
      <x:c r="D7" s="47" t="n">
        <x:v>13.09</x:v>
      </x:c>
      <x:c r="E7" s="47" t="n">
        <x:v>11.273333333333333</x:v>
      </x:c>
    </x:row>
    <x:row r="8">
      <x:c r="A8" s="44" t="str">
        <x:v>www.trufascoll.com</x:v>
      </x:c>
      <x:c r="B8" s="47" t="n">
        <x:v>11.78</x:v>
      </x:c>
      <x:c r="C8" s="47" t="n">
        <x:v>3.25</x:v>
      </x:c>
      <x:c r="D8" s="47" t="n">
        <x:v>14.96</x:v>
      </x:c>
      <x:c r="E8" s="47" t="n">
        <x:v>9.996666666666668</x:v>
      </x:c>
    </x:row>
    <x:row r="9">
      <x:c r="A9" s="44" t="str">
        <x:v>boletsbergueda.cat</x:v>
      </x:c>
      <x:c r="B9" s="47" t="n">
        <x:v>6.77</x:v>
      </x:c>
      <x:c r="C9" s="47" t="n">
        <x:v>4.65</x:v>
      </x:c>
      <x:c r="D9" s="47" t="n">
        <x:v>10.37</x:v>
      </x:c>
      <x:c r="E9" s="47" t="n">
        <x:v>7.263333333333333</x:v>
      </x:c>
    </x:row>
    <x:row r="10">
      <x:c r="A10" s="44" t="str">
        <x:v>bolets.info</x:v>
      </x:c>
      <x:c r="B10" s="47" t="n">
        <x:v>2.85</x:v>
      </x:c>
      <x:c r="C10" s="47" t="n">
        <x:v>2.22</x:v>
      </x:c>
      <x:c r="D10" s="47" t="n">
        <x:v>1.19</x:v>
      </x:c>
      <x:c r="E10" s="47" t="n">
        <x:v>2.0866666666666664</x:v>
      </x:c>
    </x:row>
    <x:row r="11">
      <x:c r="A11" s="44" t="str">
        <x:v>www.vadebolets.cat</x:v>
      </x:c>
      <x:c r="B11" s="47" t="n">
        <x:v>1.45</x:v>
      </x:c>
      <x:c r="C11" s="47" t="n">
        <x:v>0.97</x:v>
      </x:c>
      <x:c r="D11" s="47" t="n">
        <x:v>0.2</x:v>
      </x:c>
      <x:c r="E11" s="47" t="n">
        <x:v>0.8733333333333334</x:v>
      </x:c>
    </x:row>
    <x:row r="12">
      <x:c r="A12" s="44" t="str">
        <x:v>bolets.app</x:v>
      </x:c>
      <x:c r="B12" s="47" t="n">
        <x:v>0.65</x:v>
      </x:c>
      <x:c r="C12" s="47" t="n">
        <x:v>0.66</x:v>
      </x:c>
      <x:c r="D12" s="47" t="n">
        <x:v>0.31</x:v>
      </x:c>
      <x:c r="E12" s="47" t="n">
        <x:v>0.54</x:v>
      </x:c>
    </x:row>
    <x:row r="13">
      <x:c r="A13" s="44" t="str">
        <x:v>www.micocat.org</x:v>
      </x:c>
      <x:c r="B13" s="47" t="n">
        <x:v>0.78</x:v>
      </x:c>
      <x:c r="C13" s="47" t="n">
        <x:v>0.6</x:v>
      </x:c>
      <x:c r="D13" s="47" t="n">
        <x:v>0.2</x:v>
      </x:c>
      <x:c r="E13" s="47" t="n">
        <x:v>0.5266666666666666</x:v>
      </x:c>
    </x:row>
    <x:row r="17" ht="23" customHeight="1">
      <x:c r="A17" s="9" t="str">
        <x:v>Interpretation</x:v>
      </x:c>
      <x:c r="B17" s="9" t="str">
        <x:v>Interpretation</x:v>
      </x:c>
      <x:c r="C17" s="9" t="str">
        <x:v>Interpretation</x:v>
      </x:c>
      <x:c r="D17" s="9" t="str">
        <x:v>Interpretation</x:v>
      </x:c>
      <x:c r="E17" s="9" t="str">
        <x:v>Interpretation</x:v>
      </x:c>
    </x:row>
    <x:row r="18">
      <x:c r="A18" s="60"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B18" s="61"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C18" s="61"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D18" s="61"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E18" s="62"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row>
    <x:row r="19">
      <x:c r="A19" s="63"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B19" s="64"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C19" s="64"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D19" s="64"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E19" s="65"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row>
    <x:row r="20">
      <x:c r="A20" s="63"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B20" s="64"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C20" s="64"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D20" s="64"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E20" s="65"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row>
    <x:row r="21">
      <x:c r="A21" s="66"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B21" s="67"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C21" s="67"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D21" s="67"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c r="E21" s="68" t="str">
        <x:v>Bolets.com is the benchmark for Catalan hunting content and practical tools; La Casa de las Setas dominates broader Spanish educational demand. Regional players win with place specificity. Bolets.app can differentiate through trustworthy current conditions, canonical Catalan taxonomy, safe identification boundaries, and location guidance that never exposes sensitive ecological spots.</x:v>
      </x:c>
    </x:row>
  </x:sheetData>
  <x:mergeCells>
    <x:mergeCell ref="A1:H1"/>
    <x:mergeCell ref="A2:N2"/>
    <x:mergeCell ref="A17:E17"/>
    <x:mergeCell ref="A18:E21"/>
  </x:mergeCells>
  <x:pageMargins left="0.7" right="0.7" top="0.75" bottom="0.75" header="0.3" footer="0.3"/>
  <x:drawing xmlns:r="http://schemas.openxmlformats.org/officeDocument/2006/relationships" r:id="R47608c3c1de246e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24" hidden="0" customWidth="1"/>
    <x:col min="4" max="4" width="34" hidden="0" customWidth="1"/>
    <x:col min="5" max="5" width="15" hidden="0" customWidth="1"/>
    <x:col min="6" max="6" width="34" hidden="0" customWidth="1"/>
    <x:col min="7" max="7" width="4" hidden="0" customWidth="1"/>
    <x:col min="8" max="8" width="14" hidden="0" customWidth="1"/>
  </x:cols>
  <x:sheetData>
    <x:row r="1" ht="34" customHeight="1">
      <x:c r="A1" s="3" t="str">
        <x:v>Technical SEO audit</x:v>
      </x:c>
      <x:c r="B1" s="3" t="str">
        <x:v>Technical SEO audit</x:v>
      </x:c>
      <x:c r="C1" s="3" t="str">
        <x:v>Technical SEO audit</x:v>
      </x:c>
      <x:c r="D1" s="3" t="str">
        <x:v>Technical SEO audit</x:v>
      </x:c>
      <x:c r="E1" s="3" t="str">
        <x:v>Technical SEO audit</x:v>
      </x:c>
      <x:c r="F1" s="3" t="str">
        <x:v>Technical SEO audit</x:v>
      </x:c>
      <x:c r="G1" s="3" t="str">
        <x:v>Technical SEO audit</x:v>
      </x:c>
    </x:row>
    <x:row r="2" ht="28" customHeight="1">
      <x:c r="A2" s="6" t="str">
        <x:v>SE Ranking audit 2026-08-25 16:34:07 · 549 URLs crawled</x:v>
      </x:c>
      <x:c r="B2" s="6" t="str">
        <x:v>SE Ranking audit 2026-08-25 16:34:07 · 549 URLs crawled</x:v>
      </x:c>
      <x:c r="C2" s="6" t="str">
        <x:v>SE Ranking audit 2026-08-25 16:34:07 · 549 URLs crawled</x:v>
      </x:c>
      <x:c r="D2" s="6" t="str">
        <x:v>SE Ranking audit 2026-08-25 16:34:07 · 549 URLs crawled</x:v>
      </x:c>
      <x:c r="E2" s="6" t="str">
        <x:v>SE Ranking audit 2026-08-25 16:34:07 · 549 URLs crawled</x:v>
      </x:c>
      <x:c r="F2" s="6" t="str">
        <x:v>SE Ranking audit 2026-08-25 16:34:07 · 549 URLs crawled</x:v>
      </x:c>
      <x:c r="G2" s="6" t="str">
        <x:v>SE Ranking audit 2026-08-25 16:34:07 · 549 URLs crawled</x:v>
      </x:c>
      <x:c r="H2" s="6" t="str">
        <x:v>SE Ranking audit 2026-08-25 16:34:07 · 549 URLs crawled</x:v>
      </x:c>
      <x:c r="I2" s="6" t="str">
        <x:v>SE Ranking audit 2026-08-25 16:34:07 · 549 URLs crawled</x:v>
      </x:c>
      <x:c r="J2" s="6" t="str">
        <x:v>SE Ranking audit 2026-08-25 16:34:07 · 549 URLs crawled</x:v>
      </x:c>
      <x:c r="K2" s="6" t="str">
        <x:v>SE Ranking audit 2026-08-25 16:34:07 · 549 URLs crawled</x:v>
      </x:c>
      <x:c r="L2" s="6" t="str">
        <x:v>SE Ranking audit 2026-08-25 16:34:07 · 549 URLs crawled</x:v>
      </x:c>
      <x:c r="M2" s="6" t="str">
        <x:v>SE Ranking audit 2026-08-25 16:34:07 · 549 URLs crawled</x:v>
      </x:c>
      <x:c r="N2" s="6" t="str">
        <x:v>SE Ranking audit 2026-08-25 16:34:07 · 549 URLs crawled</x:v>
      </x:c>
    </x:row>
    <x:row r="4" ht="30" customHeight="1">
      <x:c r="A4" s="40" t="str">
        <x:v>Audit score</x:v>
      </x:c>
      <x:c r="B4" s="40" t="n">
        <x:v>95</x:v>
      </x:c>
      <x:c r="C4" s="40" t="str">
        <x:v>Errors</x:v>
      </x:c>
      <x:c r="D4" s="40" t="n">
        <x:v>0</x:v>
      </x:c>
      <x:c r="E4" s="40" t="str">
        <x:v>Warnings</x:v>
      </x:c>
      <x:c r="F4" s="40" t="n">
        <x:v>212</x:v>
      </x:c>
      <x:c r="G4" s="40" t="str">
        <x:v>Notices</x:v>
      </x:c>
      <x:c r="H4" s="40" t="n">
        <x:v>953</x:v>
      </x:c>
    </x:row>
    <x:row r="5">
      <x:c r="A5" s="44" t="str">
        <x:v>Google index estimate</x:v>
      </x:c>
      <x:c r="B5" s="44" t="str">
        <x:v>83</x:v>
      </x:c>
      <x:c r="C5" s="44" t="str">
        <x:v>Domain Trust</x:v>
      </x:c>
      <x:c r="D5" s="44" t="n">
        <x:v>0</x:v>
      </x:c>
      <x:c r="E5" s="44" t="str"/>
      <x:c r="F5" s="44" t="str"/>
      <x:c r="G5" s="44" t="str"/>
      <x:c r="H5" s="44" t="str"/>
    </x:row>
    <x:row r="6">
      <x:c r="A6" s="44" t="str">
        <x:v>Interpretation</x:v>
      </x:c>
      <x:c r="B6" s="44" t="str">
        <x:v>No critical crawl errors. Prioritize missing alt text, broken external links, and indexation; validate CSS/JS notices before acting.</x:v>
      </x:c>
      <x:c r="C6" s="44" t="str"/>
      <x:c r="D6" s="44" t="str"/>
      <x:c r="E6" s="44" t="str"/>
      <x:c r="F6" s="44" t="str"/>
      <x:c r="G6" s="44" t="str"/>
      <x:c r="H6" s="44" t="str"/>
    </x:row>
    <x:row r="9" ht="23" customHeight="1">
      <x:c r="A9" s="9" t="str">
        <x:v>Issue inventory</x:v>
      </x:c>
      <x:c r="B9" s="9" t="str">
        <x:v>Issue inventory</x:v>
      </x:c>
      <x:c r="C9" s="9" t="str">
        <x:v>Issue inventory</x:v>
      </x:c>
      <x:c r="D9" s="9" t="str">
        <x:v>Issue inventory</x:v>
      </x:c>
      <x:c r="E9" s="9" t="str">
        <x:v>Issue inventory</x:v>
      </x:c>
      <x:c r="F9" s="9" t="str">
        <x:v>Issue inventory</x:v>
      </x:c>
      <x:c r="G9" s="9" t="str">
        <x:v>Issue inventory</x:v>
      </x:c>
    </x:row>
    <x:row r="10" ht="30" customHeight="1">
      <x:c r="A10" s="40" t="str">
        <x:v>Severity</x:v>
      </x:c>
      <x:c r="B10" s="40" t="str">
        <x:v>Section</x:v>
      </x:c>
      <x:c r="C10" s="40" t="str">
        <x:v>Code</x:v>
      </x:c>
      <x:c r="D10" s="40" t="str">
        <x:v>Issue</x:v>
      </x:c>
      <x:c r="E10" s="40" t="str">
        <x:v>Affected URLs</x:v>
      </x:c>
      <x:c r="F10" s="40" t="str">
        <x:v>Recommended handling</x:v>
      </x:c>
    </x:row>
    <x:row r="11">
      <x:c r="A11" s="54" t="str">
        <x:v>notice</x:v>
      </x:c>
      <x:c r="B11" s="54" t="str">
        <x:v>CSS</x:v>
      </x:c>
      <x:c r="C11" s="54" t="str">
        <x:v>css_big</x:v>
      </x:c>
      <x:c r="D11" s="54" t="str">
        <x:v>CSS too big</x:v>
      </x:c>
      <x:c r="E11" s="54" t="n">
        <x:v>548</x:v>
      </x:c>
      <x:c r="F11" s="54" t="str">
        <x:v>Validate before action</x:v>
      </x:c>
    </x:row>
    <x:row r="12">
      <x:c r="A12" s="45" t="str">
        <x:v>warning</x:v>
      </x:c>
      <x:c r="B12" s="45" t="str">
        <x:v>Content</x:v>
      </x:c>
      <x:c r="C12" s="45" t="str">
        <x:v>image_no_alt</x:v>
      </x:c>
      <x:c r="D12" s="45" t="str">
        <x:v>Alt text missing</x:v>
      </x:c>
      <x:c r="E12" s="45" t="n">
        <x:v>206</x:v>
      </x:c>
      <x:c r="F12" s="45" t="str">
        <x:v>Investigate</x:v>
      </x:c>
    </x:row>
    <x:row r="13">
      <x:c r="A13" s="54" t="str">
        <x:v>notice</x:v>
      </x:c>
      <x:c r="B13" s="54" t="str">
        <x:v>Links</x:v>
      </x:c>
      <x:c r="C13" s="54" t="str">
        <x:v>extlinks3xx</x:v>
      </x:c>
      <x:c r="D13" s="54" t="str">
        <x:v>External links to 3XX</x:v>
      </x:c>
      <x:c r="E13" s="54" t="n">
        <x:v>174</x:v>
      </x:c>
      <x:c r="F13" s="54" t="str">
        <x:v>Validate before action</x:v>
      </x:c>
    </x:row>
    <x:row r="14">
      <x:c r="A14" s="54" t="str">
        <x:v>notice</x:v>
      </x:c>
      <x:c r="B14" s="54" t="str">
        <x:v>Links</x:v>
      </x:c>
      <x:c r="C14" s="54" t="str">
        <x:v>extlinks_timeout</x:v>
      </x:c>
      <x:c r="D14" s="54" t="str">
        <x:v>External links Timed out</x:v>
      </x:c>
      <x:c r="E14" s="54" t="n">
        <x:v>157</x:v>
      </x:c>
      <x:c r="F14" s="54" t="str">
        <x:v>Validate before action</x:v>
      </x:c>
    </x:row>
    <x:row r="15">
      <x:c r="A15" s="54" t="str">
        <x:v>notice</x:v>
      </x:c>
      <x:c r="B15" s="54" t="str">
        <x:v>JavaScript</x:v>
      </x:c>
      <x:c r="C15" s="54" t="str">
        <x:v>js_uncompressed</x:v>
      </x:c>
      <x:c r="D15" s="54" t="str">
        <x:v>JavaScript not compressed</x:v>
      </x:c>
      <x:c r="E15" s="54" t="n">
        <x:v>69</x:v>
      </x:c>
      <x:c r="F15" s="54" t="str">
        <x:v>Validate before action</x:v>
      </x:c>
    </x:row>
    <x:row r="16">
      <x:c r="A16" s="45" t="str">
        <x:v>warning</x:v>
      </x:c>
      <x:c r="B16" s="45" t="str">
        <x:v>Links</x:v>
      </x:c>
      <x:c r="C16" s="45" t="str">
        <x:v>extlinks4xx</x:v>
      </x:c>
      <x:c r="D16" s="45" t="str">
        <x:v>External links to 4XX</x:v>
      </x:c>
      <x:c r="E16" s="45" t="n">
        <x:v>6</x:v>
      </x:c>
      <x:c r="F16" s="45" t="str">
        <x:v>Investigate</x:v>
      </x:c>
    </x:row>
    <x:row r="17">
      <x:c r="A17" s="54" t="str">
        <x:v>notice</x:v>
      </x:c>
      <x:c r="B17" s="54" t="str">
        <x:v>Meta Tags</x:v>
      </x:c>
      <x:c r="C17" s="54" t="str">
        <x:v>title_long</x:v>
      </x:c>
      <x:c r="D17" s="54" t="str">
        <x:v>Title too long</x:v>
      </x:c>
      <x:c r="E17" s="54" t="n">
        <x:v>3</x:v>
      </x:c>
      <x:c r="F17" s="54" t="str">
        <x:v>Validate before action</x:v>
      </x:c>
    </x:row>
    <x:row r="18">
      <x:c r="A18" s="54" t="str">
        <x:v>notice</x:v>
      </x:c>
      <x:c r="B18" s="54" t="str">
        <x:v>Crawling &amp; Indexing</x:v>
      </x:c>
      <x:c r="C18" s="54" t="str">
        <x:v>blocked_by_noindex</x:v>
      </x:c>
      <x:c r="D18" s="54" t="str">
        <x:v>Blocked by noindex</x:v>
      </x:c>
      <x:c r="E18" s="54" t="n">
        <x:v>1</x:v>
      </x:c>
      <x:c r="F18" s="54" t="str">
        <x:v>Validate before action</x:v>
      </x:c>
    </x:row>
    <x:row r="19">
      <x:c r="A19" s="54" t="str">
        <x:v>notice</x:v>
      </x:c>
      <x:c r="B19" s="54" t="str">
        <x:v>Crawling &amp; Indexing</x:v>
      </x:c>
      <x:c r="C19" s="54" t="str">
        <x:v>blocked_by_nofollow</x:v>
      </x:c>
      <x:c r="D19" s="54" t="str">
        <x:v>Blocked by nofollow</x:v>
      </x:c>
      <x:c r="E19" s="54" t="n">
        <x:v>1</x:v>
      </x:c>
      <x:c r="F19" s="54" t="str">
        <x:v>Validate before action</x:v>
      </x:c>
    </x:row>
  </x:sheetData>
  <x:mergeCells>
    <x:mergeCell ref="A1:G1"/>
    <x:mergeCell ref="A2:N2"/>
    <x:mergeCell ref="B6:H6"/>
    <x:mergeCell ref="A9:G9"/>
  </x:mergeCells>
  <x:pageMargins left="0.7" right="0.7" top="0.75" bottom="0.75" header="0.3" footer="0.3"/>
  <x:tableParts count="1">
    <x:tablePart xmlns:r="http://schemas.openxmlformats.org/officeDocument/2006/relationships" r:id="Rb7b249afd8bd4a7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38" hidden="0" customWidth="1"/>
    <x:col min="3" max="3" width="14" hidden="0" customWidth="1"/>
    <x:col min="4" max="4" width="55" hidden="0" customWidth="1"/>
    <x:col min="5" max="5" width="72" hidden="0" customWidth="1"/>
  </x:cols>
  <x:sheetData>
    <x:row r="1" ht="34" customHeight="1">
      <x:c r="A1" s="3" t="str">
        <x:v>Sources, methodology and limitations</x:v>
      </x:c>
      <x:c r="B1" s="3" t="str">
        <x:v>Sources, methodology and limitations</x:v>
      </x:c>
      <x:c r="C1" s="3" t="str">
        <x:v>Sources, methodology and limitations</x:v>
      </x:c>
      <x:c r="D1" s="3" t="str">
        <x:v>Sources, methodology and limitations</x:v>
      </x:c>
      <x:c r="E1" s="3" t="str">
        <x:v>Sources, methodology and limitations</x:v>
      </x:c>
    </x:row>
    <x:row r="2" ht="28" customHeight="1">
      <x:c r="A2" s="6" t="str">
        <x:v>Use this sheet when interpreting or refreshing the review.</x:v>
      </x:c>
      <x:c r="B2" s="6" t="str">
        <x:v>Use this sheet when interpreting or refreshing the review.</x:v>
      </x:c>
      <x:c r="C2" s="6" t="str">
        <x:v>Use this sheet when interpreting or refreshing the review.</x:v>
      </x:c>
      <x:c r="D2" s="6" t="str">
        <x:v>Use this sheet when interpreting or refreshing the review.</x:v>
      </x:c>
      <x:c r="E2" s="6" t="str">
        <x:v>Use this sheet when interpreting or refreshing the review.</x:v>
      </x:c>
      <x:c r="F2" s="6" t="str">
        <x:v>Use this sheet when interpreting or refreshing the review.</x:v>
      </x:c>
      <x:c r="G2" s="6" t="str">
        <x:v>Use this sheet when interpreting or refreshing the review.</x:v>
      </x:c>
      <x:c r="H2" s="6" t="str">
        <x:v>Use this sheet when interpreting or refreshing the review.</x:v>
      </x:c>
      <x:c r="I2" s="6" t="str">
        <x:v>Use this sheet when interpreting or refreshing the review.</x:v>
      </x:c>
      <x:c r="J2" s="6" t="str">
        <x:v>Use this sheet when interpreting or refreshing the review.</x:v>
      </x:c>
      <x:c r="K2" s="6" t="str">
        <x:v>Use this sheet when interpreting or refreshing the review.</x:v>
      </x:c>
      <x:c r="L2" s="6" t="str">
        <x:v>Use this sheet when interpreting or refreshing the review.</x:v>
      </x:c>
      <x:c r="M2" s="6" t="str">
        <x:v>Use this sheet when interpreting or refreshing the review.</x:v>
      </x:c>
      <x:c r="N2" s="6" t="str">
        <x:v>Use this sheet when interpreting or refreshing the review.</x:v>
      </x:c>
    </x:row>
    <x:row r="4" ht="30" customHeight="1">
      <x:c r="A4" s="40" t="str">
        <x:v>Source</x:v>
      </x:c>
      <x:c r="B4" s="40" t="str">
        <x:v>Used for</x:v>
      </x:c>
      <x:c r="C4" s="40" t="str">
        <x:v>Access date</x:v>
      </x:c>
      <x:c r="D4" s="40" t="str">
        <x:v>URL</x:v>
      </x:c>
      <x:c r="E4" s="40" t="str">
        <x:v>Notes / limitations</x:v>
      </x:c>
    </x:row>
    <x:row r="5" ht="52" customHeight="1">
      <x:c r="A5" s="44" t="str">
        <x:v>Google Search Console</x:v>
      </x:c>
      <x:c r="B5" s="44" t="str">
        <x:v>First-party performance, pages, queries and index coverage</x:v>
      </x:c>
      <x:c r="C5" s="44" t="str">
        <x:v>2026-09-02</x:v>
      </x:c>
      <x:c r="D5" s="44" t="str">
        <x:v>https://search.google.com/search-console</x:v>
      </x:c>
      <x:c r="E5" s="44" t="str">
        <x:v>Selected 3 months, but available chart data covered 2026-08-11 to 2026-08-31. External-links report was still processing.</x:v>
      </x:c>
    </x:row>
    <x:row r="6" ht="52" customHeight="1">
      <x:c r="A6" s="44" t="str">
        <x:v>SE Ranking project</x:v>
      </x:c>
      <x:c r="B6" s="44" t="str">
        <x:v>Tracked rankings, visibility and project competitors</x:v>
      </x:c>
      <x:c r="C6" s="44" t="str">
        <x:v>2026-09-02</x:v>
      </x:c>
      <x:c r="D6" s="44" t="str">
        <x:v>https://seranking.com/</x:v>
      </x:c>
      <x:c r="E6" s="44" t="str">
        <x:v>145 tracked terms across Google Spain CA, Google Spain ES and Google Mobile Catalonia/CA. Visibility is project-specific.</x:v>
      </x:c>
    </x:row>
    <x:row r="7" ht="52" customHeight="1">
      <x:c r="A7" s="44" t="str">
        <x:v>SE Ranking keyword research</x:v>
      </x:c>
      <x:c r="B7" s="44" t="str">
        <x:v>Search volume, SEO difficulty, CPC and paid competition</x:v>
      </x:c>
      <x:c r="C7" s="44" t="str">
        <x:v>2026-09-02</x:v>
      </x:c>
      <x:c r="D7" s="44" t="str">
        <x:v>https://seranking.com/</x:v>
      </x:c>
      <x:c r="E7" s="44" t="str">
        <x:v>Spain database estimates. Paid competition represents advertisers, not organic difficulty. Seasonal mushroom demand can vary sharply.</x:v>
      </x:c>
    </x:row>
    <x:row r="8" ht="52" customHeight="1">
      <x:c r="A8" s="44" t="str">
        <x:v>SE Ranking site audit</x:v>
      </x:c>
      <x:c r="B8" s="44" t="str">
        <x:v>Technical issue inventory</x:v>
      </x:c>
      <x:c r="C8" s="44" t="str">
        <x:v>2026-08-25</x:v>
      </x:c>
      <x:c r="D8" s="44" t="str">
        <x:v>https://seranking.com/</x:v>
      </x:c>
      <x:c r="E8" s="44" t="str">
        <x:v>Counts can repeat across templates/pages. CSS and JS notices require validation before engineering work.</x:v>
      </x:c>
    </x:row>
    <x:row r="9" ht="52" customHeight="1">
      <x:c r="A9" s="44" t="str">
        <x:v>Bolets.com</x:v>
      </x:c>
      <x:c r="B9" s="44" t="str">
        <x:v>Catalan practical-content benchmark</x:v>
      </x:c>
      <x:c r="C9" s="44" t="str">
        <x:v>2026-09-02</x:v>
      </x:c>
      <x:c r="D9" s="44" t="str">
        <x:v>https://www.bolets.com/</x:v>
      </x:c>
      <x:c r="E9" s="44" t="str">
        <x:v>Reviewed rain-data and recipe coverage; use as evidence of topic depth, not as a template to copy.</x:v>
      </x:c>
    </x:row>
    <x:row r="10" ht="52" customHeight="1">
      <x:c r="A10" s="44" t="str">
        <x:v>La Casa de las Setas</x:v>
      </x:c>
      <x:c r="B10" s="44" t="str">
        <x:v>Spanish educational-content benchmark</x:v>
      </x:c>
      <x:c r="C10" s="44" t="str">
        <x:v>2026-09-02</x:v>
      </x:c>
      <x:c r="D10" s="44" t="str">
        <x:v>https://lacasadelassetas.com/blog/</x:v>
      </x:c>
      <x:c r="E10" s="44" t="str">
        <x:v>Reviewed tree/habitat and mycology-fundamentals coverage.</x:v>
      </x:c>
    </x:row>
    <x:row r="11" ht="52" customHeight="1">
      <x:c r="A11" s="44" t="str">
        <x:v>Bolets.app sitemap/repository</x:v>
      </x:c>
      <x:c r="B11" s="44" t="str">
        <x:v>Current owned-content inventory</x:v>
      </x:c>
      <x:c r="C11" s="44" t="str">
        <x:v>2026-09-02</x:v>
      </x:c>
      <x:c r="D11" s="44" t="str">
        <x:v>https://bolets.app/sitemap.xml</x:v>
      </x:c>
      <x:c r="E11" s="44" t="str">
        <x:v>Coverage classified as Existing, Partial or Missing based on current routed content and sitemap.</x:v>
      </x:c>
    </x:row>
    <x:row r="12" ht="52" customHeight="1">
      <x:c r="A12" s="44" t="str">
        <x:v>Limitation</x:v>
      </x:c>
      <x:c r="B12" s="44" t="str">
        <x:v>Bulk raw competitor keyword export</x:v>
      </x:c>
      <x:c r="C12" s="44" t="str">
        <x:v>2026-09-02</x:v>
      </x:c>
      <x:c r="D12" s="44" t="str"/>
      <x:c r="E12" s="44" t="str">
        <x:v>The SE Ranking bulk export endpoint was unavailable; gaps are based on accessible competitor, related-keyword and tracked-project datasets.</x:v>
      </x:c>
    </x:row>
    <x:row r="13" ht="52" customHeight="1">
      <x:c r="A13" s="44" t="str">
        <x:v>Safety constraint</x:v>
      </x:c>
      <x:c r="B13" s="44" t="str">
        <x:v>Mushroom identification and foraging</x:v>
      </x:c>
      <x:c r="C13" s="44" t="str">
        <x:v>Ongoing</x:v>
      </x:c>
      <x:c r="D13" s="44" t="str">
        <x:v>https://canalaliments.gencat.cat/ca/coneix-aliments/bolets-tofona/bolets/</x:v>
      </x:c>
      <x:c r="E13" s="44" t="str">
        <x:v>Never imply edibility certainty, expert sign-off, or safe consumption from an image. Keep legal, ecological and poisoning guidance source-backed.</x:v>
      </x:c>
    </x:row>
  </x:sheetData>
  <x:mergeCells>
    <x:mergeCell ref="A1:E1"/>
    <x:mergeCell ref="A2:N2"/>
  </x:mergeCells>
  <x:pageMargins left="0.7" right="0.7" top="0.75" bottom="0.75" header="0.3" footer="0.3"/>
</x:worksheet>
</file>